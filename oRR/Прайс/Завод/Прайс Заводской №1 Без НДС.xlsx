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cuments\Документы\Прайс\Завод\"/>
    </mc:Choice>
  </mc:AlternateContent>
  <xr:revisionPtr revIDLastSave="0" documentId="13_ncr:1_{E168A4DC-269D-4407-88F3-A6B00D4F6D7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G39" i="1"/>
  <c r="H37" i="1"/>
  <c r="G37" i="1"/>
  <c r="H35" i="1"/>
  <c r="G35" i="1"/>
  <c r="H34" i="1"/>
  <c r="G34" i="1"/>
  <c r="H36" i="1"/>
  <c r="G36" i="1"/>
  <c r="H33" i="1"/>
  <c r="G33" i="1"/>
  <c r="H18" i="1"/>
  <c r="G18" i="1"/>
  <c r="H38" i="1"/>
  <c r="G38" i="1"/>
  <c r="H32" i="1"/>
  <c r="G32" i="1"/>
  <c r="H31" i="1"/>
  <c r="G31" i="1"/>
  <c r="H30" i="1"/>
  <c r="G30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40" i="1"/>
  <c r="G4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7" i="1"/>
  <c r="G17" i="1"/>
  <c r="H9" i="1"/>
  <c r="G9" i="1"/>
  <c r="H8" i="1"/>
  <c r="G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<sst xmlns="http://schemas.openxmlformats.org/spreadsheetml/2006/main" count="73" uniqueCount="33">
  <si>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</si>
  <si>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</si>
  <si>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</si>
  <si>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</si>
  <si>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</si>
  <si>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</si>
  <si>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</si>
  <si>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</si>
  <si>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</si>
  <si>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</si>
  <si>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</si>
  <si>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</si>
  <si>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</si>
  <si>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</si>
  <si>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</si>
  <si>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</si>
  <si>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</si>
  <si>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</si>
  <si>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</si>
  <si>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</si>
  <si>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</si>
  <si>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</si>
  <si>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</si>
  <si>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</si>
  <si>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</si>
  <si>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</si>
  <si>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</si>
  <si>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</si>
  <si>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19.0</t>
  </si>
  <si>
    <t>Цена в штуках</t>
  </si>
  <si>
    <t>Цена в без НДС</t>
  </si>
  <si>
    <t>Цена в Блоках</t>
  </si>
  <si>
    <t>Цена в блоках 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</si>
</sst>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6" formatCode="#,##0.000000\ [$сом-440]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/>
    <xf numFmtId="49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40"/>
  <sheetViews>
    <sheetView tabSelected="1" topLeftCell="A11" zoomScale="85" zoomScaleNormal="85" workbookViewId="0">
      <selection activeCell="T26" sqref="T26"/>
    </sheetView>
  </sheetViews>
  <sheetFormatPr defaultRowHeight="15" x14ac:dyDescent="0.25"/>
  <cols>
    <col min="1" max="1" width="3.5703125" customWidth="1"/>
    <col min="2" max="2" width="3.28515625" customWidth="1"/>
    <col min="3" max="3" width="44.28515625" customWidth="1"/>
    <col min="4" max="4" width="9.85546875" customWidth="1"/>
    <col min="5" max="5" width="10.5703125" bestFit="1" customWidth="1"/>
    <col min="6" max="6" width="14.7109375" bestFit="1" customWidth="1"/>
    <col min="7" max="7" width="10.5703125" bestFit="1" customWidth="1"/>
    <col min="8" max="8" width="14.7109375" bestFit="1" customWidth="1"/>
    <col min="9" max="9" width="4.7109375" customWidth="1"/>
    <col min="10" max="10" width="4.140625" customWidth="1"/>
  </cols>
  <sheetData>
    <row r="2" spans="1:8" ht="16.5" customHeight="1" x14ac:dyDescent="0.35">
      <c r="A2" s="9"/>
      <c r="B2" s="9"/>
      <c r="C2" s="9"/>
      <c r="D2" s="9"/>
      <c r="E2" s="9"/>
      <c r="F2" s="9"/>
      <c r="G2" s="9"/>
      <c r="H2" s="9"/>
    </row>
    <row r="4" spans="1:8" ht="13.5" customHeight="1" x14ac:dyDescent="0.25">
      <c r="B4" s="17"/>
      <c r="C4" s="17"/>
      <c r="D4" s="17"/>
      <c r="E4" s="17"/>
      <c r="F4" s="17"/>
      <c r="G4" s="17"/>
      <c r="H4" s="17"/>
    </row>
    <row r="6" spans="1:8" ht="15.75" thickBot="1" x14ac:dyDescent="0.3">
      <c r="E6" s="10"/>
      <c r="F6" s="10"/>
      <c r="G6" s="10"/>
      <c r="H6" s="11"/>
    </row>
    <row r="7" spans="1:8" ht="57" thickBot="1" x14ac:dyDescent="0.3">
      <c r="B7" s="12" t="s">
        <v>27</v>
      </c>
      <c r="C7" s="13" t="s">
        <v>0</v>
      </c>
      <c r="D7" s="14" t="s">
        <v>1</v>
      </c>
      <c r="E7" s="14" t="s">
        <v>29</v>
      </c>
      <c r="F7" s="14" t="s">
        <v>30</v>
      </c>
      <c r="G7" s="14" t="s">
        <v>31</v>
      </c>
      <c r="H7" s="15" t="s">
        <v>32</v>
      </c>
    </row>
    <row r="8" spans="1:8" x14ac:dyDescent="0.25">
      <c r="B8" s="22">
        <v>1</v>
      </c>
      <c r="C8" s="23" t="s">
        <v>2</v>
      </c>
      <c r="D8" s="24" t="s">
        <v>3</v>
      </c>
      <c r="E8" s="25">
        <v>50</v>
      </c>
      <c r="F8" s="26">
        <v>44.642857142857139</v>
      </c>
      <c r="G8" s="25">
        <f>E8*9</f>
        <v>450</v>
      </c>
      <c r="H8" s="16">
        <f>F8*9</f>
        <v>401.78571428571422</v>
      </c>
    </row>
    <row r="9" spans="1:8" x14ac:dyDescent="0.25">
      <c r="B9" s="7">
        <v>2</v>
      </c>
      <c r="C9" s="5" t="s">
        <v>2</v>
      </c>
      <c r="D9" s="1" t="s">
        <v>4</v>
      </c>
      <c r="E9" s="2">
        <v>42</v>
      </c>
      <c r="F9" s="18">
        <v>37.499999999999993</v>
      </c>
      <c r="G9" s="2">
        <f>E9*9</f>
        <v>378</v>
      </c>
      <c r="H9" s="19">
        <f>F9*9</f>
        <v>337.49999999999994</v>
      </c>
    </row>
    <row r="10" spans="1:8" x14ac:dyDescent="0.25">
      <c r="B10" s="7">
        <v>3</v>
      </c>
      <c r="C10" s="5" t="s">
        <v>2</v>
      </c>
      <c r="D10" s="1" t="s">
        <v>5</v>
      </c>
      <c r="E10" s="2">
        <v>30</v>
      </c>
      <c r="F10" s="18">
        <v>26.785714285714285</v>
      </c>
      <c r="G10" s="2">
        <f>E10*12</f>
        <v>360</v>
      </c>
      <c r="H10" s="19">
        <f>F10*12</f>
        <v>321.42857142857144</v>
      </c>
    </row>
    <row r="11" spans="1:8" x14ac:dyDescent="0.25">
      <c r="B11" s="7">
        <v>4</v>
      </c>
      <c r="C11" s="5" t="s">
        <v>2</v>
      </c>
      <c r="D11" s="1" t="s">
        <v>6</v>
      </c>
      <c r="E11" s="2">
        <v>55</v>
      </c>
      <c r="F11" s="18">
        <v>49.107142857142854</v>
      </c>
      <c r="G11" s="2">
        <f t="shared" ref="G11:G16" si="0">E11*12</f>
        <v>660</v>
      </c>
      <c r="H11" s="19">
        <f t="shared" ref="H11:H16" si="1">F11*12</f>
        <v>589.28571428571422</v>
      </c>
    </row>
    <row r="12" spans="1:8" x14ac:dyDescent="0.25">
      <c r="B12" s="7">
        <v>5</v>
      </c>
      <c r="C12" s="5" t="s">
        <v>7</v>
      </c>
      <c r="D12" s="1" t="s">
        <v>6</v>
      </c>
      <c r="E12" s="2">
        <v>55</v>
      </c>
      <c r="F12" s="18">
        <v>49.107142857142854</v>
      </c>
      <c r="G12" s="2">
        <f t="shared" si="0"/>
        <v>660</v>
      </c>
      <c r="H12" s="19">
        <f t="shared" si="1"/>
        <v>589.28571428571422</v>
      </c>
    </row>
    <row r="13" spans="1:8" x14ac:dyDescent="0.25">
      <c r="B13" s="7">
        <v>6</v>
      </c>
      <c r="C13" s="5" t="s">
        <v>8</v>
      </c>
      <c r="D13" s="1" t="s">
        <v>6</v>
      </c>
      <c r="E13" s="2">
        <v>80</v>
      </c>
      <c r="F13" s="18">
        <v>71.428571428571416</v>
      </c>
      <c r="G13" s="2">
        <f t="shared" si="0"/>
        <v>960</v>
      </c>
      <c r="H13" s="19">
        <f t="shared" si="1"/>
        <v>857.142857142857</v>
      </c>
    </row>
    <row r="14" spans="1:8" x14ac:dyDescent="0.25">
      <c r="B14" s="7">
        <v>7</v>
      </c>
      <c r="C14" s="5" t="s">
        <v>9</v>
      </c>
      <c r="D14" s="1" t="s">
        <v>6</v>
      </c>
      <c r="E14" s="2">
        <v>60</v>
      </c>
      <c r="F14" s="18">
        <v>53.571428571428569</v>
      </c>
      <c r="G14" s="2">
        <f t="shared" si="0"/>
        <v>720</v>
      </c>
      <c r="H14" s="19">
        <f t="shared" si="1"/>
        <v>642.85714285714289</v>
      </c>
    </row>
    <row r="15" spans="1:8" x14ac:dyDescent="0.25">
      <c r="B15" s="7">
        <v>8</v>
      </c>
      <c r="C15" s="5" t="s">
        <v>10</v>
      </c>
      <c r="D15" s="1" t="s">
        <v>6</v>
      </c>
      <c r="E15" s="2">
        <v>60</v>
      </c>
      <c r="F15" s="18">
        <v>53.571428571428569</v>
      </c>
      <c r="G15" s="2">
        <f t="shared" si="0"/>
        <v>720</v>
      </c>
      <c r="H15" s="19">
        <f t="shared" si="1"/>
        <v>642.85714285714289</v>
      </c>
    </row>
    <row r="16" spans="1:8" x14ac:dyDescent="0.25">
      <c r="B16" s="7">
        <v>9</v>
      </c>
      <c r="C16" s="5" t="s">
        <v>11</v>
      </c>
      <c r="D16" s="1" t="s">
        <v>6</v>
      </c>
      <c r="E16" s="2">
        <v>60</v>
      </c>
      <c r="F16" s="18">
        <v>53.571428571428569</v>
      </c>
      <c r="G16" s="2">
        <f t="shared" si="0"/>
        <v>720</v>
      </c>
      <c r="H16" s="19">
        <f t="shared" si="1"/>
        <v>642.85714285714289</v>
      </c>
    </row>
    <row r="17" spans="2:8" x14ac:dyDescent="0.25">
      <c r="B17" s="7">
        <v>10</v>
      </c>
      <c r="C17" s="5" t="s">
        <v>12</v>
      </c>
      <c r="D17" s="1" t="s">
        <v>4</v>
      </c>
      <c r="E17" s="2">
        <v>55</v>
      </c>
      <c r="F17" s="18">
        <v>49.107142857142854</v>
      </c>
      <c r="G17" s="2">
        <f>E17*9</f>
        <v>495</v>
      </c>
      <c r="H17" s="19">
        <f>F17*9</f>
        <v>441.96428571428567</v>
      </c>
    </row>
    <row r="18" spans="2:8" x14ac:dyDescent="0.25">
      <c r="B18" s="7">
        <v>11</v>
      </c>
      <c r="C18" s="5" t="s">
        <v>12</v>
      </c>
      <c r="D18" s="1" t="s">
        <v>3</v>
      </c>
      <c r="E18" s="2">
        <v>70</v>
      </c>
      <c r="F18" s="18">
        <v>62.499999999999993</v>
      </c>
      <c r="G18" s="2">
        <f>E18*6</f>
        <v>420</v>
      </c>
      <c r="H18" s="19">
        <f>F18*6</f>
        <v>374.99999999999994</v>
      </c>
    </row>
    <row r="19" spans="2:8" x14ac:dyDescent="0.25">
      <c r="B19" s="7">
        <v>12</v>
      </c>
      <c r="C19" s="5" t="s">
        <v>13</v>
      </c>
      <c r="D19" s="1" t="s">
        <v>4</v>
      </c>
      <c r="E19" s="2">
        <v>55</v>
      </c>
      <c r="F19" s="18">
        <v>49.107142857142854</v>
      </c>
      <c r="G19" s="2">
        <f t="shared" ref="G19:G29" si="2">E19*9</f>
        <v>495</v>
      </c>
      <c r="H19" s="19">
        <f t="shared" ref="H19:H29" si="3">F19*9</f>
        <v>441.96428571428567</v>
      </c>
    </row>
    <row r="20" spans="2:8" x14ac:dyDescent="0.25">
      <c r="B20" s="7">
        <v>13</v>
      </c>
      <c r="C20" s="5" t="s">
        <v>14</v>
      </c>
      <c r="D20" s="1" t="s">
        <v>4</v>
      </c>
      <c r="E20" s="2">
        <v>60</v>
      </c>
      <c r="F20" s="18">
        <v>53.571428571428569</v>
      </c>
      <c r="G20" s="2">
        <f t="shared" si="2"/>
        <v>540</v>
      </c>
      <c r="H20" s="19">
        <f t="shared" si="3"/>
        <v>482.14285714285711</v>
      </c>
    </row>
    <row r="21" spans="2:8" x14ac:dyDescent="0.25">
      <c r="B21" s="7">
        <v>14</v>
      </c>
      <c r="C21" s="5" t="s">
        <v>15</v>
      </c>
      <c r="D21" s="1" t="s">
        <v>4</v>
      </c>
      <c r="E21" s="2">
        <v>55</v>
      </c>
      <c r="F21" s="18">
        <v>49.107142857142854</v>
      </c>
      <c r="G21" s="2">
        <f t="shared" si="2"/>
        <v>495</v>
      </c>
      <c r="H21" s="19">
        <f t="shared" si="3"/>
        <v>441.96428571428567</v>
      </c>
    </row>
    <row r="22" spans="2:8" x14ac:dyDescent="0.25">
      <c r="B22" s="7">
        <v>15</v>
      </c>
      <c r="C22" s="5" t="s">
        <v>16</v>
      </c>
      <c r="D22" s="1" t="s">
        <v>4</v>
      </c>
      <c r="E22" s="2">
        <v>55</v>
      </c>
      <c r="F22" s="18">
        <v>49.107142857142854</v>
      </c>
      <c r="G22" s="2">
        <f t="shared" si="2"/>
        <v>495</v>
      </c>
      <c r="H22" s="19">
        <f t="shared" si="3"/>
        <v>441.96428571428567</v>
      </c>
    </row>
    <row r="23" spans="2:8" x14ac:dyDescent="0.25">
      <c r="B23" s="7">
        <v>16</v>
      </c>
      <c r="C23" s="5" t="s">
        <v>17</v>
      </c>
      <c r="D23" s="1" t="s">
        <v>4</v>
      </c>
      <c r="E23" s="2">
        <v>55</v>
      </c>
      <c r="F23" s="18">
        <v>49.107142857142854</v>
      </c>
      <c r="G23" s="2">
        <f t="shared" si="2"/>
        <v>495</v>
      </c>
      <c r="H23" s="19">
        <f t="shared" si="3"/>
        <v>441.96428571428567</v>
      </c>
    </row>
    <row r="24" spans="2:8" x14ac:dyDescent="0.25">
      <c r="B24" s="7">
        <v>17</v>
      </c>
      <c r="C24" s="5" t="s">
        <v>18</v>
      </c>
      <c r="D24" s="1" t="s">
        <v>4</v>
      </c>
      <c r="E24" s="2">
        <v>40</v>
      </c>
      <c r="F24" s="18">
        <v>35.714285714285708</v>
      </c>
      <c r="G24" s="2">
        <f t="shared" si="2"/>
        <v>360</v>
      </c>
      <c r="H24" s="19">
        <f t="shared" si="3"/>
        <v>321.42857142857139</v>
      </c>
    </row>
    <row r="25" spans="2:8" x14ac:dyDescent="0.25">
      <c r="B25" s="7">
        <v>18</v>
      </c>
      <c r="C25" s="5" t="s">
        <v>19</v>
      </c>
      <c r="D25" s="1" t="s">
        <v>4</v>
      </c>
      <c r="E25" s="2">
        <v>30</v>
      </c>
      <c r="F25" s="18">
        <v>26.785714285714285</v>
      </c>
      <c r="G25" s="2">
        <f t="shared" si="2"/>
        <v>270</v>
      </c>
      <c r="H25" s="19">
        <f t="shared" si="3"/>
        <v>241.07142857142856</v>
      </c>
    </row>
    <row r="26" spans="2:8" x14ac:dyDescent="0.25">
      <c r="B26" s="7">
        <v>19</v>
      </c>
      <c r="C26" s="5" t="s">
        <v>20</v>
      </c>
      <c r="D26" s="1" t="s">
        <v>4</v>
      </c>
      <c r="E26" s="2">
        <v>30</v>
      </c>
      <c r="F26" s="18">
        <v>26.785714285714285</v>
      </c>
      <c r="G26" s="2">
        <f t="shared" si="2"/>
        <v>270</v>
      </c>
      <c r="H26" s="19">
        <f t="shared" si="3"/>
        <v>241.07142857142856</v>
      </c>
    </row>
    <row r="27" spans="2:8" x14ac:dyDescent="0.25">
      <c r="B27" s="7">
        <v>20</v>
      </c>
      <c r="C27" s="5" t="s">
        <v>21</v>
      </c>
      <c r="D27" s="1" t="s">
        <v>4</v>
      </c>
      <c r="E27" s="2">
        <v>25</v>
      </c>
      <c r="F27" s="18">
        <v>22.321428571428569</v>
      </c>
      <c r="G27" s="2">
        <f t="shared" si="2"/>
        <v>225</v>
      </c>
      <c r="H27" s="19">
        <f t="shared" si="3"/>
        <v>200.89285714285711</v>
      </c>
    </row>
    <row r="28" spans="2:8" x14ac:dyDescent="0.25">
      <c r="B28" s="7">
        <v>21</v>
      </c>
      <c r="C28" s="5" t="s">
        <v>22</v>
      </c>
      <c r="D28" s="1" t="s">
        <v>4</v>
      </c>
      <c r="E28" s="2">
        <v>31</v>
      </c>
      <c r="F28" s="18">
        <v>27.678571428571427</v>
      </c>
      <c r="G28" s="2">
        <f t="shared" si="2"/>
        <v>279</v>
      </c>
      <c r="H28" s="19">
        <f t="shared" si="3"/>
        <v>249.10714285714283</v>
      </c>
    </row>
    <row r="29" spans="2:8" x14ac:dyDescent="0.25">
      <c r="B29" s="7">
        <v>22</v>
      </c>
      <c r="C29" s="5" t="s">
        <v>23</v>
      </c>
      <c r="D29" s="1" t="s">
        <v>4</v>
      </c>
      <c r="E29" s="2">
        <v>31</v>
      </c>
      <c r="F29" s="18">
        <v>27.678571428571427</v>
      </c>
      <c r="G29" s="2">
        <f t="shared" si="2"/>
        <v>279</v>
      </c>
      <c r="H29" s="19">
        <f t="shared" si="3"/>
        <v>249.10714285714283</v>
      </c>
    </row>
    <row r="30" spans="2:8" x14ac:dyDescent="0.25">
      <c r="B30" s="7">
        <v>23</v>
      </c>
      <c r="C30" s="5" t="s">
        <v>22</v>
      </c>
      <c r="D30" s="1" t="s">
        <v>5</v>
      </c>
      <c r="E30" s="2">
        <v>25</v>
      </c>
      <c r="F30" s="18">
        <v>22.321428571428569</v>
      </c>
      <c r="G30" s="2">
        <f t="shared" ref="G30:G32" si="4">E30*12</f>
        <v>300</v>
      </c>
      <c r="H30" s="19">
        <f t="shared" ref="H30:H32" si="5">F30*12</f>
        <v>267.85714285714283</v>
      </c>
    </row>
    <row r="31" spans="2:8" x14ac:dyDescent="0.25">
      <c r="B31" s="7">
        <v>24</v>
      </c>
      <c r="C31" s="5" t="s">
        <v>23</v>
      </c>
      <c r="D31" s="1" t="s">
        <v>5</v>
      </c>
      <c r="E31" s="2">
        <v>25</v>
      </c>
      <c r="F31" s="18">
        <v>22.321428571428569</v>
      </c>
      <c r="G31" s="2">
        <f t="shared" si="4"/>
        <v>300</v>
      </c>
      <c r="H31" s="19">
        <f t="shared" si="5"/>
        <v>267.85714285714283</v>
      </c>
    </row>
    <row r="32" spans="2:8" x14ac:dyDescent="0.25">
      <c r="B32" s="7">
        <v>25</v>
      </c>
      <c r="C32" s="5" t="s">
        <v>21</v>
      </c>
      <c r="D32" s="1" t="s">
        <v>5</v>
      </c>
      <c r="E32" s="2">
        <v>20</v>
      </c>
      <c r="F32" s="18">
        <v>17.857142857142854</v>
      </c>
      <c r="G32" s="2">
        <f t="shared" si="4"/>
        <v>240</v>
      </c>
      <c r="H32" s="19">
        <f t="shared" si="5"/>
        <v>214.28571428571425</v>
      </c>
    </row>
    <row r="33" spans="2:8" x14ac:dyDescent="0.25">
      <c r="B33" s="7">
        <v>26</v>
      </c>
      <c r="C33" s="5" t="s">
        <v>21</v>
      </c>
      <c r="D33" s="1" t="s">
        <v>24</v>
      </c>
      <c r="E33" s="2">
        <v>60</v>
      </c>
      <c r="F33" s="18">
        <v>53.571428571428569</v>
      </c>
      <c r="G33" s="2">
        <f>E33*2</f>
        <v>120</v>
      </c>
      <c r="H33" s="19">
        <f>F33*2</f>
        <v>107.14285714285714</v>
      </c>
    </row>
    <row r="34" spans="2:8" x14ac:dyDescent="0.25">
      <c r="B34" s="7">
        <v>27</v>
      </c>
      <c r="C34" s="5" t="s">
        <v>21</v>
      </c>
      <c r="D34" s="1" t="s">
        <v>25</v>
      </c>
      <c r="E34" s="2">
        <v>90</v>
      </c>
      <c r="F34" s="18">
        <v>80.357142857142847</v>
      </c>
      <c r="G34" s="2">
        <f>E34*1</f>
        <v>90</v>
      </c>
      <c r="H34" s="19">
        <f>F34*1</f>
        <v>80.357142857142847</v>
      </c>
    </row>
    <row r="35" spans="2:8" x14ac:dyDescent="0.25">
      <c r="B35" s="7">
        <v>28</v>
      </c>
      <c r="C35" s="5" t="s">
        <v>21</v>
      </c>
      <c r="D35" s="1" t="s">
        <v>28</v>
      </c>
      <c r="E35" s="2">
        <v>170</v>
      </c>
      <c r="F35" s="18">
        <v>151.78571428571428</v>
      </c>
      <c r="G35" s="2">
        <f>E35*1</f>
        <v>170</v>
      </c>
      <c r="H35" s="19">
        <f>F35*1</f>
        <v>151.78571428571428</v>
      </c>
    </row>
    <row r="36" spans="2:8" x14ac:dyDescent="0.25">
      <c r="B36" s="7">
        <v>29</v>
      </c>
      <c r="C36" s="5" t="s">
        <v>26</v>
      </c>
      <c r="D36" s="1" t="s">
        <v>24</v>
      </c>
      <c r="E36" s="2">
        <v>50</v>
      </c>
      <c r="F36" s="18">
        <v>44.642857142857139</v>
      </c>
      <c r="G36" s="2">
        <f>E36*2</f>
        <v>100</v>
      </c>
      <c r="H36" s="19">
        <f>F36*2</f>
        <v>89.285714285714278</v>
      </c>
    </row>
    <row r="37" spans="2:8" x14ac:dyDescent="0.25">
      <c r="B37" s="7">
        <v>30</v>
      </c>
      <c r="C37" s="5" t="s">
        <v>26</v>
      </c>
      <c r="D37" s="1" t="s">
        <v>25</v>
      </c>
      <c r="E37" s="2">
        <v>75</v>
      </c>
      <c r="F37" s="18">
        <v>66.964285714285708</v>
      </c>
      <c r="G37" s="2">
        <f>E37*1</f>
        <v>75</v>
      </c>
      <c r="H37" s="19">
        <f>F37*1</f>
        <v>66.964285714285708</v>
      </c>
    </row>
    <row r="38" spans="2:8" x14ac:dyDescent="0.25">
      <c r="B38" s="7">
        <v>31</v>
      </c>
      <c r="C38" s="5" t="s">
        <v>26</v>
      </c>
      <c r="D38" s="1" t="s">
        <v>5</v>
      </c>
      <c r="E38" s="2">
        <v>15</v>
      </c>
      <c r="F38" s="18">
        <v>13.392857142857142</v>
      </c>
      <c r="G38" s="2">
        <f>E38*12</f>
        <v>180</v>
      </c>
      <c r="H38" s="19">
        <f>F38*12</f>
        <v>160.71428571428572</v>
      </c>
    </row>
    <row r="39" spans="2:8" x14ac:dyDescent="0.25">
      <c r="B39" s="7">
        <v>32</v>
      </c>
      <c r="C39" s="5" t="s">
        <v>26</v>
      </c>
      <c r="D39" s="1" t="s">
        <v>28</v>
      </c>
      <c r="E39" s="2">
        <v>150</v>
      </c>
      <c r="F39" s="18">
        <v>133.92857142857142</v>
      </c>
      <c r="G39" s="2">
        <f>E39*1</f>
        <v>150</v>
      </c>
      <c r="H39" s="19">
        <f>F39*1</f>
        <v>133.92857142857142</v>
      </c>
    </row>
    <row r="40" spans="2:8" ht="15.75" thickBot="1" x14ac:dyDescent="0.3">
      <c r="B40" s="8">
        <v>33</v>
      </c>
      <c r="C40" s="6" t="s">
        <v>26</v>
      </c>
      <c r="D40" s="3" t="s">
        <v>4</v>
      </c>
      <c r="E40" s="4">
        <v>20</v>
      </c>
      <c r="F40" s="20">
        <v>17.857142857142854</v>
      </c>
      <c r="G40" s="4">
        <f>E40*9</f>
        <v>180</v>
      </c>
      <c r="H40" s="21">
        <f>F40*9</f>
        <v>160.71428571428569</v>
      </c>
    </row>
  </sheetData>
  <mergeCells count="1">
    <mergeCell ref="B4:H4"/>
  </mergeCells>
  <phoneticPr fontId="6" type="noConversion"/>
  <pageMargins left="0" right="0" top="0" bottom="0" header="0" footer="0"/>
  <pageSetup paperSize="9" scale="8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2025-05-23T09:43:51Z</cp:lastPrinted>
  <dcterms:created xsi:type="dcterms:W3CDTF">2015-06-05T18:17:20Z</dcterms:created>
  <dcterms:modified xsi:type="dcterms:W3CDTF">2025-05-23T09:43:56Z</dcterms:modified>
</cp:coreProperties>
</file>