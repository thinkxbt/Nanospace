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Документы\Прайс\Азия Ритейл\"/>
    </mc:Choice>
  </mc:AlternateContent>
  <xr:revisionPtr revIDLastSave="0" documentId="13_ncr:1_{BC0C154E-073D-4C39-9E59-71414DCC320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7" i="1"/>
  <c r="G17" i="1"/>
  <c r="G35" i="1"/>
  <c r="G38" i="1"/>
  <c r="G36" i="1"/>
  <c r="G34" i="1"/>
  <c r="G33" i="1"/>
  <c r="G32" i="1"/>
  <c r="G37" i="1"/>
  <c r="G31" i="1"/>
  <c r="G30" i="1"/>
  <c r="G29" i="1"/>
  <c r="G10" i="1"/>
  <c r="G11" i="1"/>
  <c r="G12" i="1"/>
  <c r="G13" i="1"/>
  <c r="G14" i="1"/>
  <c r="G15" i="1"/>
  <c r="G9" i="1"/>
  <c r="G39" i="1"/>
  <c r="G28" i="1"/>
  <c r="G27" i="1"/>
  <c r="G26" i="1"/>
  <c r="G25" i="1"/>
  <c r="G24" i="1"/>
  <c r="G23" i="1"/>
  <c r="G22" i="1"/>
  <c r="G21" i="1"/>
  <c r="G20" i="1"/>
  <c r="G19" i="1"/>
  <c r="G18" i="1"/>
  <c r="G16" i="1"/>
  <c r="G8" i="1"/>
  <c r="G7" i="1"/>
</calcChain>
</file>

<file path=xl/sharedStrings.xml><?xml version="1.0" encoding="utf-8"?>
<sst xmlns="http://schemas.openxmlformats.org/spreadsheetml/2006/main" count="75" uniqueCount="35">
  <si>
    <t>Наименование:</t>
  </si>
  <si>
    <t>Объем в литрах</t>
  </si>
  <si>
    <t>Мин.вода газир.Жалал-Абад№27</t>
  </si>
  <si>
    <t>1.5</t>
  </si>
  <si>
    <t>1.0</t>
  </si>
  <si>
    <t>0.5</t>
  </si>
  <si>
    <t>0.45</t>
  </si>
  <si>
    <t>Мин.вода газир."Келечек" стекло</t>
  </si>
  <si>
    <t>Мин.вода газир."Кара-Шоро" стекло</t>
  </si>
  <si>
    <t>Напиток газир. "Лимонад" стекло</t>
  </si>
  <si>
    <t>Напиток газир. "Лимонад экстра Тархун" стекло</t>
  </si>
  <si>
    <t>Напиток газир. "Лимонад экстра Груша" стекло</t>
  </si>
  <si>
    <t>Напиток газир. "Лимонад"</t>
  </si>
  <si>
    <t>Напиток газир. "Азия Кола"</t>
  </si>
  <si>
    <t>Напиток газир. "Гранат"</t>
  </si>
  <si>
    <t>Напиток газир. "Лимонад экстра СИТРО"</t>
  </si>
  <si>
    <t>Напиток газир. "Лимонад экста Тархун"</t>
  </si>
  <si>
    <t>Напиток газир. "Лимонад экстра Груша"</t>
  </si>
  <si>
    <t>Напиток газир. "К+ Витамины"</t>
  </si>
  <si>
    <t>Напиток газир. "Дюшес"</t>
  </si>
  <si>
    <t>Напиток газир. "Буратино"</t>
  </si>
  <si>
    <t>Ледниковая вода негаз. Адыгене</t>
  </si>
  <si>
    <t>Ледниковая вода негаз. Адыгене Мята</t>
  </si>
  <si>
    <t>Ледниковая вода негаз. Адыгене Лимон</t>
  </si>
  <si>
    <t>5.0</t>
  </si>
  <si>
    <t>10.0</t>
  </si>
  <si>
    <t>Артезианская вода Гималаи</t>
  </si>
  <si>
    <t>№</t>
  </si>
  <si>
    <t>Прайс Лист</t>
  </si>
  <si>
    <t>19.0</t>
  </si>
  <si>
    <t>Цена в блоках</t>
  </si>
  <si>
    <t>Цена в штуках</t>
  </si>
  <si>
    <t>Азия Ритейл</t>
  </si>
  <si>
    <t>Цена без НДС и НсП в штуках</t>
  </si>
  <si>
    <t>Цена без НДС и НСП в блоках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</si>
</sst>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сом-440]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3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8" xfId="0" applyBorder="1"/>
    <xf numFmtId="49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1011329</xdr:colOff>
      <xdr:row>6</xdr:row>
      <xdr:rowOff>42579</xdr:rowOff>
    </xdr:from>
    <xdr:to>
      <xdr:col>7</xdr:col>
      <xdr:colOff>228599</xdr:colOff>
      <xdr:row>37</xdr:row>
      <xdr:rowOff>147355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65D7ABD-0778-DAE3-15C9-47A02340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0770" y="2104461"/>
          <a:ext cx="6008035" cy="60102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9"/>
  <sheetViews>
    <sheetView tabSelected="1" topLeftCell="A5" zoomScale="85" zoomScaleNormal="85" workbookViewId="0">
      <selection activeCell="P13" sqref="P13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7" width="15" customWidth="1"/>
    <col min="8" max="8" width="21.28515625" customWidth="1"/>
    <col min="9" max="9" width="4.140625" customWidth="1"/>
    <col min="16" max="16" width="7.140625" bestFit="1" customWidth="1"/>
  </cols>
  <sheetData>
    <row r="2" spans="2:8" ht="40.5" x14ac:dyDescent="0.25">
      <c r="B2" s="13" t="s">
        <v>28</v>
      </c>
      <c r="C2" s="13"/>
      <c r="D2" s="13"/>
      <c r="E2" s="13"/>
      <c r="F2" s="13"/>
      <c r="G2" s="13"/>
      <c r="H2" s="13"/>
    </row>
    <row r="3" spans="2:8" ht="18.75" x14ac:dyDescent="0.25">
      <c r="B3" s="14" t="s">
        <v>32</v>
      </c>
      <c r="C3" s="14"/>
      <c r="D3" s="14"/>
      <c r="E3" s="14"/>
      <c r="F3" s="14"/>
      <c r="G3" s="14"/>
      <c r="H3" s="14"/>
    </row>
    <row r="5" spans="2:8" ht="15.75" thickBot="1" x14ac:dyDescent="0.3">
      <c r="E5" s="9"/>
      <c r="F5" s="9"/>
      <c r="G5" s="10"/>
      <c r="H5" s="10"/>
    </row>
    <row r="6" spans="2:8" ht="57" thickBot="1" x14ac:dyDescent="0.3">
      <c r="B6" s="20" t="s">
        <v>27</v>
      </c>
      <c r="C6" s="21" t="s">
        <v>0</v>
      </c>
      <c r="D6" s="22" t="s">
        <v>1</v>
      </c>
      <c r="E6" s="22" t="s">
        <v>31</v>
      </c>
      <c r="F6" s="22" t="s">
        <v>33</v>
      </c>
      <c r="G6" s="22" t="s">
        <v>30</v>
      </c>
      <c r="H6" s="23" t="s">
        <v>34</v>
      </c>
    </row>
    <row r="7" spans="2:8" x14ac:dyDescent="0.25">
      <c r="B7" s="15">
        <v>1</v>
      </c>
      <c r="C7" s="16" t="s">
        <v>2</v>
      </c>
      <c r="D7" s="17" t="s">
        <v>3</v>
      </c>
      <c r="E7" s="18">
        <v>57.75</v>
      </c>
      <c r="F7" s="18">
        <f>E7/1.13</f>
        <v>51.10619469026549</v>
      </c>
      <c r="G7" s="18">
        <f>E7*9</f>
        <v>519.75</v>
      </c>
      <c r="H7" s="19">
        <f>G7/1.13</f>
        <v>459.95575221238943</v>
      </c>
    </row>
    <row r="8" spans="2:8" x14ac:dyDescent="0.25">
      <c r="B8" s="7">
        <v>2</v>
      </c>
      <c r="C8" s="5" t="s">
        <v>2</v>
      </c>
      <c r="D8" s="1" t="s">
        <v>4</v>
      </c>
      <c r="E8" s="2">
        <v>48.3</v>
      </c>
      <c r="F8" s="2">
        <f t="shared" ref="F8:F39" si="0">E8/1.13</f>
        <v>42.743362831858406</v>
      </c>
      <c r="G8" s="2">
        <f>E8*9</f>
        <v>434.7</v>
      </c>
      <c r="H8" s="11">
        <f t="shared" ref="H8:H39" si="1">G8/1.13</f>
        <v>384.69026548672571</v>
      </c>
    </row>
    <row r="9" spans="2:8" x14ac:dyDescent="0.25">
      <c r="B9" s="7">
        <v>3</v>
      </c>
      <c r="C9" s="5" t="s">
        <v>2</v>
      </c>
      <c r="D9" s="1" t="s">
        <v>5</v>
      </c>
      <c r="E9" s="2">
        <v>34.5</v>
      </c>
      <c r="F9" s="2">
        <f t="shared" si="0"/>
        <v>30.530973451327437</v>
      </c>
      <c r="G9" s="2">
        <f>E9*12</f>
        <v>414</v>
      </c>
      <c r="H9" s="11">
        <f t="shared" si="1"/>
        <v>366.37168141592923</v>
      </c>
    </row>
    <row r="10" spans="2:8" x14ac:dyDescent="0.25">
      <c r="B10" s="7">
        <v>4</v>
      </c>
      <c r="C10" s="5" t="s">
        <v>2</v>
      </c>
      <c r="D10" s="1" t="s">
        <v>6</v>
      </c>
      <c r="E10" s="2">
        <v>63.249999999999993</v>
      </c>
      <c r="F10" s="2">
        <f t="shared" si="0"/>
        <v>55.973451327433629</v>
      </c>
      <c r="G10" s="2">
        <f t="shared" ref="G10:H15" si="2">E10*12</f>
        <v>758.99999999999989</v>
      </c>
      <c r="H10" s="11">
        <f t="shared" si="1"/>
        <v>671.68141592920347</v>
      </c>
    </row>
    <row r="11" spans="2:8" x14ac:dyDescent="0.25">
      <c r="B11" s="7">
        <v>5</v>
      </c>
      <c r="C11" s="5" t="s">
        <v>7</v>
      </c>
      <c r="D11" s="1" t="s">
        <v>6</v>
      </c>
      <c r="E11" s="2">
        <v>63.249999999999993</v>
      </c>
      <c r="F11" s="2">
        <f t="shared" si="0"/>
        <v>55.973451327433629</v>
      </c>
      <c r="G11" s="2">
        <f t="shared" si="2"/>
        <v>758.99999999999989</v>
      </c>
      <c r="H11" s="11">
        <f t="shared" si="1"/>
        <v>671.68141592920347</v>
      </c>
    </row>
    <row r="12" spans="2:8" x14ac:dyDescent="0.25">
      <c r="B12" s="7">
        <v>6</v>
      </c>
      <c r="C12" s="5" t="s">
        <v>8</v>
      </c>
      <c r="D12" s="1" t="s">
        <v>6</v>
      </c>
      <c r="E12" s="2">
        <v>92</v>
      </c>
      <c r="F12" s="2">
        <f t="shared" si="0"/>
        <v>81.415929203539832</v>
      </c>
      <c r="G12" s="2">
        <f t="shared" si="2"/>
        <v>1104</v>
      </c>
      <c r="H12" s="11">
        <f t="shared" si="1"/>
        <v>976.99115044247799</v>
      </c>
    </row>
    <row r="13" spans="2:8" x14ac:dyDescent="0.25">
      <c r="B13" s="7">
        <v>7</v>
      </c>
      <c r="C13" s="5" t="s">
        <v>9</v>
      </c>
      <c r="D13" s="1" t="s">
        <v>6</v>
      </c>
      <c r="E13" s="2">
        <v>69</v>
      </c>
      <c r="F13" s="2">
        <f t="shared" si="0"/>
        <v>61.061946902654874</v>
      </c>
      <c r="G13" s="2">
        <f t="shared" si="2"/>
        <v>828</v>
      </c>
      <c r="H13" s="11">
        <f t="shared" si="1"/>
        <v>732.74336283185846</v>
      </c>
    </row>
    <row r="14" spans="2:8" x14ac:dyDescent="0.25">
      <c r="B14" s="7">
        <v>8</v>
      </c>
      <c r="C14" s="5" t="s">
        <v>10</v>
      </c>
      <c r="D14" s="1" t="s">
        <v>6</v>
      </c>
      <c r="E14" s="2">
        <v>69</v>
      </c>
      <c r="F14" s="2">
        <f t="shared" si="0"/>
        <v>61.061946902654874</v>
      </c>
      <c r="G14" s="2">
        <f t="shared" si="2"/>
        <v>828</v>
      </c>
      <c r="H14" s="11">
        <f t="shared" si="1"/>
        <v>732.74336283185846</v>
      </c>
    </row>
    <row r="15" spans="2:8" x14ac:dyDescent="0.25">
      <c r="B15" s="7">
        <v>9</v>
      </c>
      <c r="C15" s="5" t="s">
        <v>11</v>
      </c>
      <c r="D15" s="1" t="s">
        <v>6</v>
      </c>
      <c r="E15" s="2">
        <v>69</v>
      </c>
      <c r="F15" s="2">
        <f t="shared" si="0"/>
        <v>61.061946902654874</v>
      </c>
      <c r="G15" s="2">
        <f t="shared" si="2"/>
        <v>828</v>
      </c>
      <c r="H15" s="11">
        <f t="shared" si="1"/>
        <v>732.74336283185846</v>
      </c>
    </row>
    <row r="16" spans="2:8" x14ac:dyDescent="0.25">
      <c r="B16" s="7">
        <v>10</v>
      </c>
      <c r="C16" s="5" t="s">
        <v>12</v>
      </c>
      <c r="D16" s="1" t="s">
        <v>4</v>
      </c>
      <c r="E16" s="2">
        <v>63.249999999999993</v>
      </c>
      <c r="F16" s="2">
        <f t="shared" si="0"/>
        <v>55.973451327433629</v>
      </c>
      <c r="G16" s="2">
        <f>E16*9</f>
        <v>569.24999999999989</v>
      </c>
      <c r="H16" s="11">
        <f t="shared" si="1"/>
        <v>503.7610619469026</v>
      </c>
    </row>
    <row r="17" spans="2:8" x14ac:dyDescent="0.25">
      <c r="B17" s="7">
        <v>11</v>
      </c>
      <c r="C17" s="5" t="s">
        <v>12</v>
      </c>
      <c r="D17" s="1" t="s">
        <v>3</v>
      </c>
      <c r="E17" s="2">
        <v>80.5</v>
      </c>
      <c r="F17" s="2">
        <f t="shared" si="0"/>
        <v>71.238938053097357</v>
      </c>
      <c r="G17" s="2">
        <f>E17*6</f>
        <v>483</v>
      </c>
      <c r="H17" s="11">
        <f t="shared" si="1"/>
        <v>427.43362831858411</v>
      </c>
    </row>
    <row r="18" spans="2:8" x14ac:dyDescent="0.25">
      <c r="B18" s="7">
        <v>12</v>
      </c>
      <c r="C18" s="5" t="s">
        <v>13</v>
      </c>
      <c r="D18" s="1" t="s">
        <v>4</v>
      </c>
      <c r="E18" s="2">
        <v>63.249999999999993</v>
      </c>
      <c r="F18" s="2">
        <f t="shared" si="0"/>
        <v>55.973451327433629</v>
      </c>
      <c r="G18" s="2">
        <f t="shared" ref="G18:H28" si="3">E18*9</f>
        <v>569.24999999999989</v>
      </c>
      <c r="H18" s="11">
        <f t="shared" si="1"/>
        <v>503.7610619469026</v>
      </c>
    </row>
    <row r="19" spans="2:8" x14ac:dyDescent="0.25">
      <c r="B19" s="7">
        <v>13</v>
      </c>
      <c r="C19" s="5" t="s">
        <v>14</v>
      </c>
      <c r="D19" s="1" t="s">
        <v>4</v>
      </c>
      <c r="E19" s="2">
        <v>69</v>
      </c>
      <c r="F19" s="2">
        <f t="shared" si="0"/>
        <v>61.061946902654874</v>
      </c>
      <c r="G19" s="2">
        <f t="shared" si="3"/>
        <v>621</v>
      </c>
      <c r="H19" s="11">
        <f t="shared" si="1"/>
        <v>549.55752212389382</v>
      </c>
    </row>
    <row r="20" spans="2:8" x14ac:dyDescent="0.25">
      <c r="B20" s="7">
        <v>14</v>
      </c>
      <c r="C20" s="5" t="s">
        <v>15</v>
      </c>
      <c r="D20" s="1" t="s">
        <v>4</v>
      </c>
      <c r="E20" s="2">
        <v>63.249999999999993</v>
      </c>
      <c r="F20" s="2">
        <f t="shared" si="0"/>
        <v>55.973451327433629</v>
      </c>
      <c r="G20" s="2">
        <f t="shared" si="3"/>
        <v>569.24999999999989</v>
      </c>
      <c r="H20" s="11">
        <f t="shared" si="1"/>
        <v>503.7610619469026</v>
      </c>
    </row>
    <row r="21" spans="2:8" x14ac:dyDescent="0.25">
      <c r="B21" s="7">
        <v>15</v>
      </c>
      <c r="C21" s="5" t="s">
        <v>16</v>
      </c>
      <c r="D21" s="1" t="s">
        <v>4</v>
      </c>
      <c r="E21" s="2">
        <v>63.249999999999993</v>
      </c>
      <c r="F21" s="2">
        <f t="shared" si="0"/>
        <v>55.973451327433629</v>
      </c>
      <c r="G21" s="2">
        <f t="shared" si="3"/>
        <v>569.24999999999989</v>
      </c>
      <c r="H21" s="11">
        <f t="shared" si="1"/>
        <v>503.7610619469026</v>
      </c>
    </row>
    <row r="22" spans="2:8" x14ac:dyDescent="0.25">
      <c r="B22" s="7">
        <v>16</v>
      </c>
      <c r="C22" s="5" t="s">
        <v>17</v>
      </c>
      <c r="D22" s="1" t="s">
        <v>4</v>
      </c>
      <c r="E22" s="2">
        <v>63.249999999999993</v>
      </c>
      <c r="F22" s="2">
        <f t="shared" si="0"/>
        <v>55.973451327433629</v>
      </c>
      <c r="G22" s="2">
        <f t="shared" si="3"/>
        <v>569.24999999999989</v>
      </c>
      <c r="H22" s="11">
        <f t="shared" si="1"/>
        <v>503.7610619469026</v>
      </c>
    </row>
    <row r="23" spans="2:8" x14ac:dyDescent="0.25">
      <c r="B23" s="7">
        <v>17</v>
      </c>
      <c r="C23" s="5" t="s">
        <v>18</v>
      </c>
      <c r="D23" s="1" t="s">
        <v>4</v>
      </c>
      <c r="E23" s="2">
        <v>46</v>
      </c>
      <c r="F23" s="2">
        <f t="shared" si="0"/>
        <v>40.707964601769916</v>
      </c>
      <c r="G23" s="2">
        <f t="shared" si="3"/>
        <v>414</v>
      </c>
      <c r="H23" s="11">
        <f t="shared" si="1"/>
        <v>366.37168141592923</v>
      </c>
    </row>
    <row r="24" spans="2:8" x14ac:dyDescent="0.25">
      <c r="B24" s="7">
        <v>18</v>
      </c>
      <c r="C24" s="5" t="s">
        <v>19</v>
      </c>
      <c r="D24" s="1" t="s">
        <v>4</v>
      </c>
      <c r="E24" s="2">
        <v>34.5</v>
      </c>
      <c r="F24" s="2">
        <f t="shared" si="0"/>
        <v>30.530973451327437</v>
      </c>
      <c r="G24" s="2">
        <f t="shared" si="3"/>
        <v>310.5</v>
      </c>
      <c r="H24" s="11">
        <f t="shared" si="1"/>
        <v>274.77876106194691</v>
      </c>
    </row>
    <row r="25" spans="2:8" x14ac:dyDescent="0.25">
      <c r="B25" s="7">
        <v>19</v>
      </c>
      <c r="C25" s="5" t="s">
        <v>20</v>
      </c>
      <c r="D25" s="1" t="s">
        <v>4</v>
      </c>
      <c r="E25" s="2">
        <v>34.5</v>
      </c>
      <c r="F25" s="2">
        <f t="shared" si="0"/>
        <v>30.530973451327437</v>
      </c>
      <c r="G25" s="2">
        <f t="shared" si="3"/>
        <v>310.5</v>
      </c>
      <c r="H25" s="11">
        <f t="shared" si="1"/>
        <v>274.77876106194691</v>
      </c>
    </row>
    <row r="26" spans="2:8" x14ac:dyDescent="0.25">
      <c r="B26" s="7">
        <v>20</v>
      </c>
      <c r="C26" s="5" t="s">
        <v>21</v>
      </c>
      <c r="D26" s="1" t="s">
        <v>4</v>
      </c>
      <c r="E26" s="2">
        <v>28.749999999999996</v>
      </c>
      <c r="F26" s="2">
        <f t="shared" si="0"/>
        <v>25.442477876106192</v>
      </c>
      <c r="G26" s="2">
        <f t="shared" si="3"/>
        <v>258.74999999999994</v>
      </c>
      <c r="H26" s="11">
        <f t="shared" si="1"/>
        <v>228.98230088495572</v>
      </c>
    </row>
    <row r="27" spans="2:8" x14ac:dyDescent="0.25">
      <c r="B27" s="7">
        <v>21</v>
      </c>
      <c r="C27" s="5" t="s">
        <v>22</v>
      </c>
      <c r="D27" s="1" t="s">
        <v>4</v>
      </c>
      <c r="E27" s="2">
        <v>35.65</v>
      </c>
      <c r="F27" s="2">
        <f t="shared" si="0"/>
        <v>31.548672566371682</v>
      </c>
      <c r="G27" s="2">
        <f t="shared" si="3"/>
        <v>320.84999999999997</v>
      </c>
      <c r="H27" s="11">
        <f t="shared" si="1"/>
        <v>283.93805309734512</v>
      </c>
    </row>
    <row r="28" spans="2:8" x14ac:dyDescent="0.25">
      <c r="B28" s="7">
        <v>22</v>
      </c>
      <c r="C28" s="5" t="s">
        <v>23</v>
      </c>
      <c r="D28" s="1" t="s">
        <v>4</v>
      </c>
      <c r="E28" s="2">
        <v>35.65</v>
      </c>
      <c r="F28" s="2">
        <f t="shared" si="0"/>
        <v>31.548672566371682</v>
      </c>
      <c r="G28" s="2">
        <f t="shared" si="3"/>
        <v>320.84999999999997</v>
      </c>
      <c r="H28" s="11">
        <f t="shared" si="1"/>
        <v>283.93805309734512</v>
      </c>
    </row>
    <row r="29" spans="2:8" x14ac:dyDescent="0.25">
      <c r="B29" s="7">
        <v>23</v>
      </c>
      <c r="C29" s="5" t="s">
        <v>22</v>
      </c>
      <c r="D29" s="1" t="s">
        <v>5</v>
      </c>
      <c r="E29" s="2">
        <v>28.749999999999996</v>
      </c>
      <c r="F29" s="2">
        <f t="shared" si="0"/>
        <v>25.442477876106192</v>
      </c>
      <c r="G29" s="2">
        <f t="shared" ref="G29:H31" si="4">E29*12</f>
        <v>344.99999999999994</v>
      </c>
      <c r="H29" s="11">
        <f t="shared" si="1"/>
        <v>305.30973451327429</v>
      </c>
    </row>
    <row r="30" spans="2:8" x14ac:dyDescent="0.25">
      <c r="B30" s="7">
        <v>24</v>
      </c>
      <c r="C30" s="5" t="s">
        <v>23</v>
      </c>
      <c r="D30" s="1" t="s">
        <v>5</v>
      </c>
      <c r="E30" s="2">
        <v>28.749999999999996</v>
      </c>
      <c r="F30" s="2">
        <f t="shared" si="0"/>
        <v>25.442477876106192</v>
      </c>
      <c r="G30" s="2">
        <f t="shared" si="4"/>
        <v>344.99999999999994</v>
      </c>
      <c r="H30" s="11">
        <f t="shared" si="1"/>
        <v>305.30973451327429</v>
      </c>
    </row>
    <row r="31" spans="2:8" x14ac:dyDescent="0.25">
      <c r="B31" s="7">
        <v>25</v>
      </c>
      <c r="C31" s="5" t="s">
        <v>21</v>
      </c>
      <c r="D31" s="1" t="s">
        <v>5</v>
      </c>
      <c r="E31" s="2">
        <v>23</v>
      </c>
      <c r="F31" s="2">
        <f t="shared" si="0"/>
        <v>20.353982300884958</v>
      </c>
      <c r="G31" s="2">
        <f t="shared" si="4"/>
        <v>276</v>
      </c>
      <c r="H31" s="11">
        <f t="shared" si="1"/>
        <v>244.2477876106195</v>
      </c>
    </row>
    <row r="32" spans="2:8" x14ac:dyDescent="0.25">
      <c r="B32" s="7">
        <v>26</v>
      </c>
      <c r="C32" s="5" t="s">
        <v>21</v>
      </c>
      <c r="D32" s="1" t="s">
        <v>24</v>
      </c>
      <c r="E32" s="2">
        <v>69</v>
      </c>
      <c r="F32" s="2">
        <f t="shared" si="0"/>
        <v>61.061946902654874</v>
      </c>
      <c r="G32" s="2">
        <f>E32*2</f>
        <v>138</v>
      </c>
      <c r="H32" s="11">
        <f t="shared" si="1"/>
        <v>122.12389380530975</v>
      </c>
    </row>
    <row r="33" spans="2:8" x14ac:dyDescent="0.25">
      <c r="B33" s="7">
        <v>27</v>
      </c>
      <c r="C33" s="5" t="s">
        <v>21</v>
      </c>
      <c r="D33" s="1" t="s">
        <v>25</v>
      </c>
      <c r="E33" s="2">
        <v>103.49999999999999</v>
      </c>
      <c r="F33" s="2">
        <f t="shared" si="0"/>
        <v>91.592920353982294</v>
      </c>
      <c r="G33" s="2">
        <f>E33*1</f>
        <v>103.49999999999999</v>
      </c>
      <c r="H33" s="11">
        <f t="shared" si="1"/>
        <v>91.592920353982294</v>
      </c>
    </row>
    <row r="34" spans="2:8" x14ac:dyDescent="0.25">
      <c r="B34" s="7">
        <v>28</v>
      </c>
      <c r="C34" s="5" t="s">
        <v>21</v>
      </c>
      <c r="D34" s="1" t="s">
        <v>29</v>
      </c>
      <c r="E34" s="2">
        <v>195.49999999999997</v>
      </c>
      <c r="F34" s="2">
        <f t="shared" si="0"/>
        <v>173.00884955752213</v>
      </c>
      <c r="G34" s="2">
        <f>E34*1</f>
        <v>195.49999999999997</v>
      </c>
      <c r="H34" s="11">
        <f t="shared" si="1"/>
        <v>173.00884955752213</v>
      </c>
    </row>
    <row r="35" spans="2:8" x14ac:dyDescent="0.25">
      <c r="B35" s="7">
        <v>29</v>
      </c>
      <c r="C35" s="5" t="s">
        <v>26</v>
      </c>
      <c r="D35" s="1" t="s">
        <v>24</v>
      </c>
      <c r="E35" s="2">
        <v>57.499999999999993</v>
      </c>
      <c r="F35" s="2">
        <f t="shared" si="0"/>
        <v>50.884955752212385</v>
      </c>
      <c r="G35" s="2">
        <f>E35*2</f>
        <v>114.99999999999999</v>
      </c>
      <c r="H35" s="11">
        <f t="shared" si="1"/>
        <v>101.76991150442477</v>
      </c>
    </row>
    <row r="36" spans="2:8" x14ac:dyDescent="0.25">
      <c r="B36" s="7">
        <v>30</v>
      </c>
      <c r="C36" s="5" t="s">
        <v>26</v>
      </c>
      <c r="D36" s="1" t="s">
        <v>25</v>
      </c>
      <c r="E36" s="2">
        <v>86.3</v>
      </c>
      <c r="F36" s="2">
        <f t="shared" si="0"/>
        <v>76.371681415929203</v>
      </c>
      <c r="G36" s="2">
        <f>E36*1</f>
        <v>86.3</v>
      </c>
      <c r="H36" s="11">
        <f t="shared" si="1"/>
        <v>76.371681415929203</v>
      </c>
    </row>
    <row r="37" spans="2:8" x14ac:dyDescent="0.25">
      <c r="B37" s="7">
        <v>31</v>
      </c>
      <c r="C37" s="5" t="s">
        <v>26</v>
      </c>
      <c r="D37" s="1" t="s">
        <v>5</v>
      </c>
      <c r="E37" s="2">
        <v>17.25</v>
      </c>
      <c r="F37" s="2">
        <f t="shared" si="0"/>
        <v>15.265486725663719</v>
      </c>
      <c r="G37" s="2">
        <f t="shared" ref="G37:H37" si="5">E37*12</f>
        <v>207</v>
      </c>
      <c r="H37" s="11">
        <f t="shared" si="1"/>
        <v>183.18584070796462</v>
      </c>
    </row>
    <row r="38" spans="2:8" x14ac:dyDescent="0.25">
      <c r="B38" s="7">
        <v>32</v>
      </c>
      <c r="C38" s="5" t="s">
        <v>26</v>
      </c>
      <c r="D38" s="1" t="s">
        <v>29</v>
      </c>
      <c r="E38" s="2">
        <v>172.5</v>
      </c>
      <c r="F38" s="2">
        <f t="shared" si="0"/>
        <v>152.65486725663717</v>
      </c>
      <c r="G38" s="2">
        <f>E38*1</f>
        <v>172.5</v>
      </c>
      <c r="H38" s="11">
        <f t="shared" si="1"/>
        <v>152.65486725663717</v>
      </c>
    </row>
    <row r="39" spans="2:8" ht="15.75" thickBot="1" x14ac:dyDescent="0.3">
      <c r="B39" s="8">
        <v>33</v>
      </c>
      <c r="C39" s="6" t="s">
        <v>26</v>
      </c>
      <c r="D39" s="3" t="s">
        <v>4</v>
      </c>
      <c r="E39" s="4">
        <v>23</v>
      </c>
      <c r="F39" s="4">
        <f t="shared" si="0"/>
        <v>20.353982300884958</v>
      </c>
      <c r="G39" s="4">
        <f>E39*9</f>
        <v>207</v>
      </c>
      <c r="H39" s="12">
        <f t="shared" si="1"/>
        <v>183.18584070796462</v>
      </c>
    </row>
  </sheetData>
  <mergeCells count="2">
    <mergeCell ref="B2:H2"/>
    <mergeCell ref="B3:H3"/>
  </mergeCells>
  <phoneticPr fontId="6" type="noConversion"/>
  <pageMargins left="0.25" right="0.25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2025-09-03T07:32:32Z</cp:lastPrinted>
  <dcterms:created xsi:type="dcterms:W3CDTF">2015-06-05T18:17:20Z</dcterms:created>
  <dcterms:modified xsi:type="dcterms:W3CDTF">2025-09-03T07:32:33Z</dcterms:modified>
</cp:coreProperties>
</file>