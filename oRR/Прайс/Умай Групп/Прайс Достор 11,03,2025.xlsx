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Документы\Прайс\Умай Групп\"/>
    </mc:Choice>
  </mc:AlternateContent>
  <xr:revisionPtr revIDLastSave="0" documentId="13_ncr:1_{87667B45-C2C5-4583-9C3E-5C29477DC56D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Sheet1" sheetId="1" r:id="rId1"/>
    <sheet name="Лист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1" l="1"/>
  <c r="F22" i="1"/>
  <c r="F23" i="1"/>
  <c r="E22" i="2"/>
  <c r="E21" i="2"/>
  <c r="E20" i="2"/>
  <c r="E18" i="2"/>
  <c r="F18" i="1"/>
</calcChain>
</file>

<file path=xl/sharedStrings.xml><?xml version="1.0" encoding="utf-8"?>
<sst xmlns="http://schemas.openxmlformats.org/spreadsheetml/2006/main" count="36" uniqueCount="15">
  <si>
    <t>Наименование:</t>
  </si>
  <si>
    <t>Объем в литрах</t>
  </si>
  <si>
    <t>Мин.вода газир.Жалал-Абад№27</t>
  </si>
  <si>
    <t>1.5</t>
  </si>
  <si>
    <t>1.0</t>
  </si>
  <si>
    <t>0.5</t>
  </si>
  <si>
    <t>0.45</t>
  </si>
  <si>
    <t>Мин.вода газир."Кара-Шоро" стекло</t>
  </si>
  <si>
    <t>№</t>
  </si>
  <si>
    <t>Прайс Лист</t>
  </si>
  <si>
    <t>Достор</t>
  </si>
  <si>
    <t>Мин.вода газир.Жалал-Абад№27 со скидкой 12%</t>
  </si>
  <si>
    <t>Цена в штуках</t>
  </si>
  <si>
    <t>Цена в блоках</t>
  </si>
  <si>
    <t xml:space="preserve">Газ.напиток Лимонад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</si>
</sst>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сом-440]"/>
    <numFmt numFmtId="165" formatCode="[$$-409]#,##0.00"/>
  </numFmts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2"/>
      <color theme="1"/>
      <name val="Segoe Script"/>
      <family val="4"/>
      <charset val="204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2" xfId="0" applyBorder="1"/>
    <xf numFmtId="0" fontId="0" fillId="0" borderId="5" xfId="0" applyBorder="1"/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/>
    <xf numFmtId="165" fontId="0" fillId="0" borderId="0" xfId="0" applyNumberFormat="1"/>
    <xf numFmtId="0" fontId="0" fillId="0" borderId="7" xfId="0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4" fontId="0" fillId="0" borderId="8" xfId="0" applyNumberFormat="1" applyBorder="1" applyAlignment="1">
      <alignment horizontal="center" vertical="center"/>
    </xf>
    <xf numFmtId="164" fontId="0" fillId="0" borderId="0" xfId="0" applyNumberFormat="1"/>
    <xf numFmtId="164" fontId="0" fillId="0" borderId="3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8" xfId="0" applyBorder="1"/>
    <xf numFmtId="49" fontId="0" fillId="0" borderId="8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123824</xdr:colOff>
      <xdr:row>1</xdr:row>
      <xdr:rowOff>0</xdr:rowOff>
    </xdr:from>
    <xdr:to>
      <xdr:col>2</xdr:col>
      <xdr:colOff>1819274</xdr:colOff>
      <xdr:row>4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9F1411-1493-CE2D-5F4A-61AE6DD53CAD}"/>
            </a:ext>
          </a:extLst>
        </xdr:cNvPr>
        <xdr:cNvSpPr txBox="1"/>
      </xdr:nvSpPr>
      <xdr:spPr>
        <a:xfrm>
          <a:off x="361949" y="190500"/>
          <a:ext cx="1914525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kern="1200"/>
            <a:t>«КЕЛЕЧЕК» </a:t>
          </a:r>
        </a:p>
        <a:p>
          <a:pPr algn="ctr"/>
          <a:r>
            <a:rPr lang="ru-RU" sz="1100" b="1" kern="1200"/>
            <a:t>ЖАБЫК АКЦИОНЕРДИК КООМУ</a:t>
          </a:r>
        </a:p>
      </xdr:txBody>
    </xdr:sp>
    <xdr:clientData/>
  </xdr:twoCellAnchor>
  <xdr:twoCellAnchor editAs="oneCell">
    <xdr:from>
      <xdr:col>2</xdr:col>
      <xdr:colOff>2362200</xdr:colOff>
      <xdr:row>0</xdr:row>
      <xdr:rowOff>19049</xdr:rowOff>
    </xdr:from>
    <xdr:to>
      <xdr:col>3</xdr:col>
      <xdr:colOff>276225</xdr:colOff>
      <xdr:row>4</xdr:row>
      <xdr:rowOff>161924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7A92FEE-F7E7-7E74-FDC1-96912F27A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19049"/>
          <a:ext cx="952500" cy="942975"/>
        </a:xfrm>
        <a:prstGeom prst="rect">
          <a:avLst/>
        </a:prstGeom>
      </xdr:spPr>
    </xdr:pic>
    <xdr:clientData/>
  </xdr:twoCellAnchor>
  <xdr:twoCellAnchor>
    <xdr:from>
      <xdr:col>4</xdr:col>
      <xdr:colOff>9524</xdr:colOff>
      <xdr:row>1</xdr:row>
      <xdr:rowOff>0</xdr:rowOff>
    </xdr:from>
    <xdr:to>
      <xdr:col>6</xdr:col>
      <xdr:colOff>247649</xdr:colOff>
      <xdr:row>4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4C17FA1-CDA0-06A5-B522-62ADA1458C1C}"/>
            </a:ext>
          </a:extLst>
        </xdr:cNvPr>
        <xdr:cNvSpPr txBox="1"/>
      </xdr:nvSpPr>
      <xdr:spPr>
        <a:xfrm>
          <a:off x="4267199" y="190500"/>
          <a:ext cx="2238375" cy="638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«КЕЛЕЧЕК»</a:t>
          </a:r>
          <a:r>
            <a:rPr lang="ru-RU">
              <a:effectLst/>
            </a:rPr>
            <a:t> </a:t>
          </a:r>
        </a:p>
        <a:p>
          <a:pPr algn="ctr"/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ЗАКРЫТОЕ АКЦИОНЕРНОЕ</a:t>
          </a:r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ОБЩЕСТВО</a:t>
          </a:r>
          <a:r>
            <a:rPr lang="ru-RU">
              <a:effectLst/>
            </a:rPr>
            <a:t> </a:t>
          </a:r>
          <a:endParaRPr lang="ru-RU" sz="1100" kern="1200"/>
        </a:p>
      </xdr:txBody>
    </xdr:sp>
    <xdr:clientData/>
  </xdr:twoCellAnchor>
  <xdr:twoCellAnchor>
    <xdr:from>
      <xdr:col>1</xdr:col>
      <xdr:colOff>200025</xdr:colOff>
      <xdr:row>5</xdr:row>
      <xdr:rowOff>9526</xdr:rowOff>
    </xdr:from>
    <xdr:to>
      <xdr:col>2</xdr:col>
      <xdr:colOff>1590675</xdr:colOff>
      <xdr:row>7</xdr:row>
      <xdr:rowOff>180976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10381F-C369-2E75-7F31-84227F8F8D65}"/>
            </a:ext>
          </a:extLst>
        </xdr:cNvPr>
        <xdr:cNvSpPr txBox="1"/>
      </xdr:nvSpPr>
      <xdr:spPr>
        <a:xfrm>
          <a:off x="438150" y="1000126"/>
          <a:ext cx="160972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Республикасы</a:t>
          </a:r>
          <a:r>
            <a:rPr lang="ky-KG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720905,</a:t>
          </a:r>
          <a:r>
            <a:rPr lang="ky-KG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Жалал-Абад ш. Алыкулова-1к.</a:t>
          </a:r>
          <a:endParaRPr lang="ru-RU" sz="900" kern="1200"/>
        </a:p>
      </xdr:txBody>
    </xdr:sp>
    <xdr:clientData/>
  </xdr:twoCellAnchor>
  <xdr:twoCellAnchor>
    <xdr:from>
      <xdr:col>4</xdr:col>
      <xdr:colOff>438149</xdr:colOff>
      <xdr:row>5</xdr:row>
      <xdr:rowOff>9525</xdr:rowOff>
    </xdr:from>
    <xdr:to>
      <xdr:col>6</xdr:col>
      <xdr:colOff>104774</xdr:colOff>
      <xdr:row>8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9620E57-DDF5-BAEC-79AC-AD8E90E6E6FF}"/>
            </a:ext>
          </a:extLst>
        </xdr:cNvPr>
        <xdr:cNvSpPr txBox="1"/>
      </xdr:nvSpPr>
      <xdr:spPr>
        <a:xfrm>
          <a:off x="4695824" y="1000125"/>
          <a:ext cx="1666875" cy="561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 г.Жалал-Абад. 720905, ул.Алыкулова-1</a:t>
          </a:r>
          <a:endParaRPr lang="ru-RU" sz="900" kern="1200"/>
        </a:p>
      </xdr:txBody>
    </xdr:sp>
    <xdr:clientData/>
  </xdr:twoCellAnchor>
  <xdr:twoCellAnchor>
    <xdr:from>
      <xdr:col>2</xdr:col>
      <xdr:colOff>2019300</xdr:colOff>
      <xdr:row>5</xdr:row>
      <xdr:rowOff>9525</xdr:rowOff>
    </xdr:from>
    <xdr:to>
      <xdr:col>3</xdr:col>
      <xdr:colOff>561975</xdr:colOff>
      <xdr:row>7</xdr:row>
      <xdr:rowOff>180975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7B8D5DD-3B11-2C90-81F4-4E849B1C67F3}"/>
            </a:ext>
          </a:extLst>
        </xdr:cNvPr>
        <xdr:cNvSpPr txBox="1"/>
      </xdr:nvSpPr>
      <xdr:spPr>
        <a:xfrm>
          <a:off x="2476500" y="1000125"/>
          <a:ext cx="1581150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Е-</a:t>
          </a:r>
          <a:r>
            <a:rPr lang="en-US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mail: burulsun-pet@rambler.ru</a:t>
          </a:r>
          <a:r>
            <a:rPr lang="ru-RU" sz="8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факс: +996 3722 5 09 18</a:t>
          </a:r>
          <a:r>
            <a:rPr lang="ru-RU" sz="800"/>
            <a:t> </a:t>
          </a:r>
          <a:endParaRPr lang="ru-RU" sz="800" kern="1200"/>
        </a:p>
      </xdr:txBody>
    </xdr:sp>
    <xdr:clientData/>
  </xdr:twoCellAnchor>
  <xdr:twoCellAnchor>
    <xdr:from>
      <xdr:col>0</xdr:col>
      <xdr:colOff>95250</xdr:colOff>
      <xdr:row>9</xdr:row>
      <xdr:rowOff>76200</xdr:rowOff>
    </xdr:from>
    <xdr:to>
      <xdr:col>6</xdr:col>
      <xdr:colOff>228600</xdr:colOff>
      <xdr:row>11</xdr:row>
      <xdr:rowOff>161925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7748019-E507-727E-956A-1BD79C90BA4A}"/>
            </a:ext>
          </a:extLst>
        </xdr:cNvPr>
        <xdr:cNvSpPr txBox="1"/>
      </xdr:nvSpPr>
      <xdr:spPr>
        <a:xfrm>
          <a:off x="95250" y="1676400"/>
          <a:ext cx="6391275" cy="466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Чыгыш </a:t>
          </a: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</a:t>
          </a:r>
          <a:r>
            <a:rPr lang="ru-RU">
              <a:effectLst/>
            </a:rPr>
            <a:t>                                                                                                                    </a:t>
          </a:r>
          <a:r>
            <a:rPr lang="ru-RU" baseline="0">
              <a:effectLst/>
            </a:rPr>
            <a:t> </a:t>
          </a:r>
          <a:r>
            <a:rPr lang="ru-RU">
              <a:effectLst/>
            </a:rPr>
            <a:t> Директор фил.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«Бурулсун»</a:t>
          </a:r>
        </a:p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«____»____________2025ж                                                                                              ___________Туманов Н.К.</a:t>
          </a:r>
          <a:endParaRPr lang="ru-RU" sz="1100" kern="1200"/>
        </a:p>
      </xdr:txBody>
    </xdr:sp>
    <xdr:clientData/>
  </xdr:twoCellAnchor>
  <xdr:twoCellAnchor>
    <xdr:from>
      <xdr:col>0</xdr:col>
      <xdr:colOff>142875</xdr:colOff>
      <xdr:row>23</xdr:row>
      <xdr:rowOff>66675</xdr:rowOff>
    </xdr:from>
    <xdr:to>
      <xdr:col>6</xdr:col>
      <xdr:colOff>142875</xdr:colOff>
      <xdr:row>26</xdr:row>
      <xdr:rowOff>123825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0D5429F-A741-D6ED-7CA9-5F8BE087836D}"/>
            </a:ext>
          </a:extLst>
        </xdr:cNvPr>
        <xdr:cNvSpPr txBox="1"/>
      </xdr:nvSpPr>
      <xdr:spPr>
        <a:xfrm>
          <a:off x="142875" y="9115425"/>
          <a:ext cx="6257925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      Гл. Бухгалтер</a:t>
          </a:r>
          <a:r>
            <a:rPr lang="ru-RU" sz="1100" kern="1200" baseline="0"/>
            <a:t>                                                                                                                                     Осмонова Д.</a:t>
          </a:r>
        </a:p>
        <a:p>
          <a:r>
            <a:rPr lang="ru-RU" sz="1100" kern="1200" baseline="0"/>
            <a:t>      </a:t>
          </a:r>
          <a:r>
            <a:rPr lang="ru-RU" sz="1000" kern="1200" baseline="0"/>
            <a:t>м.п.</a:t>
          </a:r>
        </a:p>
        <a:p>
          <a:r>
            <a:rPr lang="ru-RU" sz="1100" kern="1200" baseline="0"/>
            <a:t>      Менеджер сбыта                                                                                                                             Жолболдыев А.</a:t>
          </a:r>
          <a:endParaRPr lang="ru-RU" sz="11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1</xdr:row>
      <xdr:rowOff>1</xdr:rowOff>
    </xdr:from>
    <xdr:to>
      <xdr:col>1</xdr:col>
      <xdr:colOff>1390650</xdr:colOff>
      <xdr:row>3</xdr:row>
      <xdr:rowOff>76201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2541EA0-C8F4-4EE2-B62B-60B9A071C47C}"/>
            </a:ext>
          </a:extLst>
        </xdr:cNvPr>
        <xdr:cNvSpPr txBox="1"/>
      </xdr:nvSpPr>
      <xdr:spPr>
        <a:xfrm>
          <a:off x="123824" y="190501"/>
          <a:ext cx="1876426" cy="533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kern="1200"/>
            <a:t>«КЕЛЕЧЕК» </a:t>
          </a:r>
        </a:p>
        <a:p>
          <a:pPr algn="ctr"/>
          <a:r>
            <a:rPr lang="ru-RU" sz="1100" b="1" kern="1200"/>
            <a:t>ЖАБЫК АКЦИОНЕРДИК КООМУ</a:t>
          </a:r>
        </a:p>
      </xdr:txBody>
    </xdr:sp>
    <xdr:clientData/>
  </xdr:twoCellAnchor>
  <xdr:twoCellAnchor editAs="oneCell">
    <xdr:from>
      <xdr:col>1</xdr:col>
      <xdr:colOff>1819275</xdr:colOff>
      <xdr:row>0</xdr:row>
      <xdr:rowOff>19050</xdr:rowOff>
    </xdr:from>
    <xdr:to>
      <xdr:col>1</xdr:col>
      <xdr:colOff>2771775</xdr:colOff>
      <xdr:row>5</xdr:row>
      <xdr:rowOff>9525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D76CCE52-E5CB-4C02-8B76-E419C643F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875" y="19050"/>
          <a:ext cx="952500" cy="1019175"/>
        </a:xfrm>
        <a:prstGeom prst="rect">
          <a:avLst/>
        </a:prstGeom>
      </xdr:spPr>
    </xdr:pic>
    <xdr:clientData/>
  </xdr:twoCellAnchor>
  <xdr:twoCellAnchor>
    <xdr:from>
      <xdr:col>3</xdr:col>
      <xdr:colOff>9525</xdr:colOff>
      <xdr:row>1</xdr:row>
      <xdr:rowOff>0</xdr:rowOff>
    </xdr:from>
    <xdr:to>
      <xdr:col>4</xdr:col>
      <xdr:colOff>1543051</xdr:colOff>
      <xdr:row>4</xdr:row>
      <xdr:rowOff>28575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289E2AE-D760-48B2-84AD-1C18BA8D271A}"/>
            </a:ext>
          </a:extLst>
        </xdr:cNvPr>
        <xdr:cNvSpPr txBox="1"/>
      </xdr:nvSpPr>
      <xdr:spPr>
        <a:xfrm>
          <a:off x="5619750" y="190500"/>
          <a:ext cx="2143126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«КЕЛЕЧЕК»</a:t>
          </a:r>
          <a:r>
            <a:rPr lang="ru-RU">
              <a:effectLst/>
            </a:rPr>
            <a:t> </a:t>
          </a:r>
        </a:p>
        <a:p>
          <a:pPr algn="ctr"/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ЗАКРЫТОЕ АКЦИОНЕРНОЕ</a:t>
          </a:r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ОБЩЕСТВО</a:t>
          </a:r>
          <a:r>
            <a:rPr lang="ru-RU">
              <a:effectLst/>
            </a:rPr>
            <a:t> </a:t>
          </a:r>
          <a:endParaRPr lang="ru-RU" sz="1100" kern="1200"/>
        </a:p>
      </xdr:txBody>
    </xdr:sp>
    <xdr:clientData/>
  </xdr:twoCellAnchor>
  <xdr:twoCellAnchor>
    <xdr:from>
      <xdr:col>0</xdr:col>
      <xdr:colOff>200025</xdr:colOff>
      <xdr:row>5</xdr:row>
      <xdr:rowOff>9526</xdr:rowOff>
    </xdr:from>
    <xdr:to>
      <xdr:col>1</xdr:col>
      <xdr:colOff>1381125</xdr:colOff>
      <xdr:row>7</xdr:row>
      <xdr:rowOff>123826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8983DCB-F1BC-4B04-B743-F97B4858C029}"/>
            </a:ext>
          </a:extLst>
        </xdr:cNvPr>
        <xdr:cNvSpPr txBox="1"/>
      </xdr:nvSpPr>
      <xdr:spPr>
        <a:xfrm>
          <a:off x="200025" y="1038226"/>
          <a:ext cx="1790700" cy="4953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Республикасы</a:t>
          </a:r>
          <a:r>
            <a:rPr lang="ky-KG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720905,</a:t>
          </a:r>
          <a:r>
            <a:rPr lang="ky-KG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Жалал-Абад ш. Алыкулова-1к.</a:t>
          </a:r>
          <a:endParaRPr lang="ru-RU" sz="900" kern="1200"/>
        </a:p>
      </xdr:txBody>
    </xdr:sp>
    <xdr:clientData/>
  </xdr:twoCellAnchor>
  <xdr:twoCellAnchor>
    <xdr:from>
      <xdr:col>3</xdr:col>
      <xdr:colOff>438149</xdr:colOff>
      <xdr:row>5</xdr:row>
      <xdr:rowOff>9525</xdr:rowOff>
    </xdr:from>
    <xdr:to>
      <xdr:col>4</xdr:col>
      <xdr:colOff>1333500</xdr:colOff>
      <xdr:row>7</xdr:row>
      <xdr:rowOff>104775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8A01A93-BD3D-4658-9651-73AF313405FC}"/>
            </a:ext>
          </a:extLst>
        </xdr:cNvPr>
        <xdr:cNvSpPr txBox="1"/>
      </xdr:nvSpPr>
      <xdr:spPr>
        <a:xfrm>
          <a:off x="4552949" y="1038225"/>
          <a:ext cx="1504951" cy="476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 г.Жалал-Абад. 720905, ул.Алыкулова-1</a:t>
          </a:r>
          <a:endParaRPr lang="ru-RU" sz="900" kern="1200"/>
        </a:p>
      </xdr:txBody>
    </xdr:sp>
    <xdr:clientData/>
  </xdr:twoCellAnchor>
  <xdr:twoCellAnchor>
    <xdr:from>
      <xdr:col>1</xdr:col>
      <xdr:colOff>1533525</xdr:colOff>
      <xdr:row>5</xdr:row>
      <xdr:rowOff>9525</xdr:rowOff>
    </xdr:from>
    <xdr:to>
      <xdr:col>3</xdr:col>
      <xdr:colOff>114300</xdr:colOff>
      <xdr:row>7</xdr:row>
      <xdr:rowOff>180975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592DEFF-2565-46CD-B426-13D66D09B2F3}"/>
            </a:ext>
          </a:extLst>
        </xdr:cNvPr>
        <xdr:cNvSpPr txBox="1"/>
      </xdr:nvSpPr>
      <xdr:spPr>
        <a:xfrm>
          <a:off x="2143125" y="1038225"/>
          <a:ext cx="208597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Е-</a:t>
          </a:r>
          <a:r>
            <a:rPr lang="en-US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mail: burulsun-pet@rambler.ru</a:t>
          </a:r>
          <a:r>
            <a:rPr lang="ru-RU" sz="8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факс: +996 3722 5 09 18</a:t>
          </a:r>
          <a:r>
            <a:rPr lang="ru-RU" sz="800"/>
            <a:t> </a:t>
          </a:r>
          <a:endParaRPr lang="ru-RU" sz="800" kern="1200"/>
        </a:p>
      </xdr:txBody>
    </xdr:sp>
    <xdr:clientData/>
  </xdr:twoCellAnchor>
  <xdr:twoCellAnchor>
    <xdr:from>
      <xdr:col>0</xdr:col>
      <xdr:colOff>95250</xdr:colOff>
      <xdr:row>9</xdr:row>
      <xdr:rowOff>57150</xdr:rowOff>
    </xdr:from>
    <xdr:to>
      <xdr:col>5</xdr:col>
      <xdr:colOff>85725</xdr:colOff>
      <xdr:row>11</xdr:row>
      <xdr:rowOff>161925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93FA526E-72BA-4198-BC0E-8E188089E28A}"/>
            </a:ext>
          </a:extLst>
        </xdr:cNvPr>
        <xdr:cNvSpPr txBox="1"/>
      </xdr:nvSpPr>
      <xdr:spPr>
        <a:xfrm>
          <a:off x="95250" y="1704975"/>
          <a:ext cx="6391275" cy="485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Чыгыш </a:t>
          </a: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</a:t>
          </a:r>
          <a:r>
            <a:rPr lang="ru-RU">
              <a:effectLst/>
            </a:rPr>
            <a:t>                                                                                                                    </a:t>
          </a:r>
          <a:r>
            <a:rPr lang="ru-RU" baseline="0">
              <a:effectLst/>
            </a:rPr>
            <a:t> </a:t>
          </a:r>
          <a:r>
            <a:rPr lang="ru-RU">
              <a:effectLst/>
            </a:rPr>
            <a:t> Директор фил.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«Бурулсун»</a:t>
          </a:r>
        </a:p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«____»____________2025ж                                                                                              ___________Туманов Н.К.</a:t>
          </a:r>
          <a:endParaRPr lang="ru-RU" sz="1100" kern="1200"/>
        </a:p>
      </xdr:txBody>
    </xdr:sp>
    <xdr:clientData/>
  </xdr:twoCellAnchor>
  <xdr:twoCellAnchor>
    <xdr:from>
      <xdr:col>0</xdr:col>
      <xdr:colOff>142875</xdr:colOff>
      <xdr:row>22</xdr:row>
      <xdr:rowOff>66675</xdr:rowOff>
    </xdr:from>
    <xdr:to>
      <xdr:col>5</xdr:col>
      <xdr:colOff>142875</xdr:colOff>
      <xdr:row>25</xdr:row>
      <xdr:rowOff>123825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A3865A1A-D0D1-4297-BA3E-79EB30A9655D}"/>
            </a:ext>
          </a:extLst>
        </xdr:cNvPr>
        <xdr:cNvSpPr txBox="1"/>
      </xdr:nvSpPr>
      <xdr:spPr>
        <a:xfrm>
          <a:off x="142875" y="4800600"/>
          <a:ext cx="6257925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      Гл. Бухгалтер</a:t>
          </a:r>
          <a:r>
            <a:rPr lang="ru-RU" sz="1100" kern="1200" baseline="0"/>
            <a:t>                                                                                                                                     Осмонова Д.</a:t>
          </a:r>
        </a:p>
        <a:p>
          <a:r>
            <a:rPr lang="ru-RU" sz="1100" kern="1200" baseline="0"/>
            <a:t>      </a:t>
          </a:r>
          <a:r>
            <a:rPr lang="ru-RU" sz="1000" kern="1200" baseline="0"/>
            <a:t>м.п.</a:t>
          </a:r>
        </a:p>
        <a:p>
          <a:r>
            <a:rPr lang="ru-RU" sz="1100" kern="1200" baseline="0"/>
            <a:t>      Менеджер сбыта                                                                                                                             Жолболдыев А.</a:t>
          </a:r>
          <a:endParaRPr lang="ru-RU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23"/>
  <sheetViews>
    <sheetView workbookViewId="0">
      <selection activeCell="I9" sqref="I9"/>
    </sheetView>
  </sheetViews>
  <sheetFormatPr defaultRowHeight="15" x14ac:dyDescent="0.25"/>
  <cols>
    <col min="1" max="1" width="3.5703125" customWidth="1"/>
    <col min="2" max="2" width="3.28515625" customWidth="1"/>
    <col min="3" max="3" width="45.5703125" bestFit="1" customWidth="1"/>
    <col min="4" max="4" width="11.42578125" bestFit="1" customWidth="1"/>
    <col min="5" max="6" width="15" customWidth="1"/>
    <col min="7" max="7" width="4.7109375" customWidth="1"/>
    <col min="8" max="8" width="4.140625" customWidth="1"/>
    <col min="12" max="12" width="10.42578125" bestFit="1" customWidth="1"/>
  </cols>
  <sheetData>
    <row r="2" spans="1:7" ht="16.5" customHeight="1" x14ac:dyDescent="0.35">
      <c r="A2" s="9"/>
      <c r="B2" s="9"/>
      <c r="C2" s="9"/>
      <c r="D2" s="9"/>
      <c r="E2" s="9"/>
      <c r="F2" s="9"/>
    </row>
    <row r="4" spans="1:7" ht="16.5" customHeight="1" x14ac:dyDescent="0.25"/>
    <row r="5" spans="1:7" x14ac:dyDescent="0.25">
      <c r="G5" s="10"/>
    </row>
    <row r="9" spans="1:7" ht="3" customHeight="1" thickBot="1" x14ac:dyDescent="0.3">
      <c r="A9" s="11"/>
      <c r="B9" s="11"/>
      <c r="C9" s="11"/>
      <c r="D9" s="11"/>
      <c r="E9" s="11"/>
      <c r="F9" s="11"/>
      <c r="G9" s="11"/>
    </row>
    <row r="13" spans="1:7" ht="24" customHeight="1" x14ac:dyDescent="0.25">
      <c r="B13" s="26" t="s">
        <v>9</v>
      </c>
      <c r="C13" s="26"/>
      <c r="D13" s="26"/>
      <c r="E13" s="26"/>
      <c r="F13" s="26"/>
    </row>
    <row r="14" spans="1:7" ht="18" customHeight="1" x14ac:dyDescent="0.25">
      <c r="B14" s="27" t="s">
        <v>10</v>
      </c>
      <c r="C14" s="27"/>
      <c r="D14" s="27"/>
      <c r="E14" s="27"/>
      <c r="F14" s="27"/>
    </row>
    <row r="16" spans="1:7" ht="15.75" thickBot="1" x14ac:dyDescent="0.3">
      <c r="E16" s="12"/>
      <c r="F16" s="13"/>
    </row>
    <row r="17" spans="2:12" ht="38.25" thickBot="1" x14ac:dyDescent="0.3">
      <c r="B17" s="22" t="s">
        <v>8</v>
      </c>
      <c r="C17" s="23" t="s">
        <v>0</v>
      </c>
      <c r="D17" s="24" t="s">
        <v>1</v>
      </c>
      <c r="E17" s="24" t="s">
        <v>12</v>
      </c>
      <c r="F17" s="25" t="s">
        <v>13</v>
      </c>
    </row>
    <row r="18" spans="2:12" x14ac:dyDescent="0.25">
      <c r="B18" s="18">
        <v>1</v>
      </c>
      <c r="C18" s="19" t="s">
        <v>11</v>
      </c>
      <c r="D18" s="20" t="s">
        <v>3</v>
      </c>
      <c r="E18" s="14">
        <v>50.6</v>
      </c>
      <c r="F18" s="21">
        <f>E18*9</f>
        <v>455.40000000000003</v>
      </c>
      <c r="L18" s="15"/>
    </row>
    <row r="19" spans="2:12" x14ac:dyDescent="0.25">
      <c r="B19" s="7">
        <v>2</v>
      </c>
      <c r="C19" s="5" t="s">
        <v>2</v>
      </c>
      <c r="D19" s="1" t="s">
        <v>4</v>
      </c>
      <c r="E19" s="2">
        <v>45</v>
      </c>
      <c r="F19" s="16">
        <v>405</v>
      </c>
    </row>
    <row r="20" spans="2:12" x14ac:dyDescent="0.25">
      <c r="B20" s="7">
        <v>3</v>
      </c>
      <c r="C20" s="5" t="s">
        <v>14</v>
      </c>
      <c r="D20" s="1" t="s">
        <v>4</v>
      </c>
      <c r="E20" s="2">
        <v>58</v>
      </c>
      <c r="F20" s="16">
        <v>522</v>
      </c>
    </row>
    <row r="21" spans="2:12" x14ac:dyDescent="0.25">
      <c r="B21" s="7">
        <v>4</v>
      </c>
      <c r="C21" s="5" t="s">
        <v>2</v>
      </c>
      <c r="D21" s="1" t="s">
        <v>5</v>
      </c>
      <c r="E21" s="2">
        <v>34.5</v>
      </c>
      <c r="F21" s="16">
        <f>E21*12</f>
        <v>414</v>
      </c>
    </row>
    <row r="22" spans="2:12" x14ac:dyDescent="0.25">
      <c r="B22" s="7">
        <v>5</v>
      </c>
      <c r="C22" s="5" t="s">
        <v>2</v>
      </c>
      <c r="D22" s="1" t="s">
        <v>6</v>
      </c>
      <c r="E22" s="2">
        <v>63.249999999999993</v>
      </c>
      <c r="F22" s="16">
        <f t="shared" ref="F22:F23" si="0">E22*12</f>
        <v>758.99999999999989</v>
      </c>
    </row>
    <row r="23" spans="2:12" ht="15.75" thickBot="1" x14ac:dyDescent="0.3">
      <c r="B23" s="8">
        <v>6</v>
      </c>
      <c r="C23" s="6" t="s">
        <v>7</v>
      </c>
      <c r="D23" s="3" t="s">
        <v>6</v>
      </c>
      <c r="E23" s="4">
        <v>92</v>
      </c>
      <c r="F23" s="17">
        <f t="shared" si="0"/>
        <v>1104</v>
      </c>
    </row>
  </sheetData>
  <mergeCells count="2">
    <mergeCell ref="B13:F13"/>
    <mergeCell ref="B14:F14"/>
  </mergeCells>
  <pageMargins left="0" right="0" top="0" bottom="0" header="0" footer="0"/>
  <pageSetup paperSize="9" fitToWidth="0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DE0DF-0FA5-4F52-BEE3-8EE8B98BC3DF}">
  <dimension ref="A2:F22"/>
  <sheetViews>
    <sheetView tabSelected="1" topLeftCell="A6" zoomScaleNormal="100" workbookViewId="0">
      <selection activeCell="G21" sqref="G21"/>
    </sheetView>
  </sheetViews>
  <sheetFormatPr defaultRowHeight="15" x14ac:dyDescent="0.25"/>
  <cols>
    <col min="2" max="2" width="45" customWidth="1"/>
    <col min="3" max="3" width="7.5703125" customWidth="1"/>
    <col min="4" max="4" width="9.42578125" bestFit="1" customWidth="1"/>
    <col min="5" max="5" width="23.42578125" customWidth="1"/>
    <col min="7" max="7" width="11.5703125" customWidth="1"/>
  </cols>
  <sheetData>
    <row r="2" spans="1:6" ht="21" x14ac:dyDescent="0.35">
      <c r="A2" s="9"/>
      <c r="B2" s="9"/>
      <c r="C2" s="9"/>
      <c r="D2" s="9"/>
      <c r="E2" s="9"/>
    </row>
    <row r="5" spans="1:6" x14ac:dyDescent="0.25">
      <c r="F5" s="10"/>
    </row>
    <row r="9" spans="1:6" ht="3.75" customHeight="1" thickBot="1" x14ac:dyDescent="0.3">
      <c r="A9" s="11"/>
      <c r="B9" s="11"/>
      <c r="C9" s="11"/>
      <c r="D9" s="11"/>
      <c r="E9" s="11"/>
      <c r="F9" s="11"/>
    </row>
    <row r="13" spans="1:6" ht="40.5" x14ac:dyDescent="0.25">
      <c r="A13" s="26" t="s">
        <v>9</v>
      </c>
      <c r="B13" s="26"/>
      <c r="C13" s="26"/>
      <c r="D13" s="26"/>
      <c r="E13" s="26"/>
    </row>
    <row r="14" spans="1:6" ht="18.75" x14ac:dyDescent="0.25">
      <c r="A14" s="27" t="s">
        <v>10</v>
      </c>
      <c r="B14" s="27"/>
      <c r="C14" s="27"/>
      <c r="D14" s="27"/>
      <c r="E14" s="27"/>
    </row>
    <row r="16" spans="1:6" ht="15.75" thickBot="1" x14ac:dyDescent="0.3">
      <c r="D16" s="12"/>
      <c r="E16" s="13"/>
    </row>
    <row r="17" spans="1:5" ht="75.75" thickBot="1" x14ac:dyDescent="0.3">
      <c r="A17" s="22" t="s">
        <v>8</v>
      </c>
      <c r="B17" s="23" t="s">
        <v>0</v>
      </c>
      <c r="C17" s="24" t="s">
        <v>1</v>
      </c>
      <c r="D17" s="24" t="s">
        <v>12</v>
      </c>
      <c r="E17" s="25" t="s">
        <v>13</v>
      </c>
    </row>
    <row r="18" spans="1:5" x14ac:dyDescent="0.25">
      <c r="A18" s="18">
        <v>1</v>
      </c>
      <c r="B18" s="19" t="s">
        <v>11</v>
      </c>
      <c r="C18" s="20" t="s">
        <v>3</v>
      </c>
      <c r="D18" s="14">
        <v>50.6</v>
      </c>
      <c r="E18" s="21">
        <f>D18*9</f>
        <v>455.40000000000003</v>
      </c>
    </row>
    <row r="19" spans="1:5" x14ac:dyDescent="0.25">
      <c r="A19" s="7">
        <v>2</v>
      </c>
      <c r="B19" s="5" t="s">
        <v>2</v>
      </c>
      <c r="C19" s="1" t="s">
        <v>4</v>
      </c>
      <c r="D19" s="2">
        <v>48.3</v>
      </c>
      <c r="E19" s="16">
        <v>434.7</v>
      </c>
    </row>
    <row r="20" spans="1:5" x14ac:dyDescent="0.25">
      <c r="A20" s="7">
        <v>3</v>
      </c>
      <c r="B20" s="5" t="s">
        <v>2</v>
      </c>
      <c r="C20" s="1" t="s">
        <v>5</v>
      </c>
      <c r="D20" s="2">
        <v>34.5</v>
      </c>
      <c r="E20" s="16">
        <f>D20*12</f>
        <v>414</v>
      </c>
    </row>
    <row r="21" spans="1:5" x14ac:dyDescent="0.25">
      <c r="A21" s="7">
        <v>4</v>
      </c>
      <c r="B21" s="5" t="s">
        <v>2</v>
      </c>
      <c r="C21" s="1" t="s">
        <v>6</v>
      </c>
      <c r="D21" s="2">
        <v>63.249999999999993</v>
      </c>
      <c r="E21" s="16">
        <f t="shared" ref="E21:E22" si="0">D21*12</f>
        <v>758.99999999999989</v>
      </c>
    </row>
    <row r="22" spans="1:5" ht="15.75" thickBot="1" x14ac:dyDescent="0.3">
      <c r="A22" s="8">
        <v>5</v>
      </c>
      <c r="B22" s="6" t="s">
        <v>7</v>
      </c>
      <c r="C22" s="3" t="s">
        <v>6</v>
      </c>
      <c r="D22" s="4">
        <v>92</v>
      </c>
      <c r="E22" s="17">
        <f t="shared" si="0"/>
        <v>1104</v>
      </c>
    </row>
  </sheetData>
  <mergeCells count="2">
    <mergeCell ref="A13:E13"/>
    <mergeCell ref="A14:E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2025-09-05T09:08:36Z</cp:lastPrinted>
  <dcterms:created xsi:type="dcterms:W3CDTF">2015-06-05T18:17:20Z</dcterms:created>
  <dcterms:modified xsi:type="dcterms:W3CDTF">2025-09-05T09:14:42Z</dcterms:modified>
</cp:coreProperties>
</file>