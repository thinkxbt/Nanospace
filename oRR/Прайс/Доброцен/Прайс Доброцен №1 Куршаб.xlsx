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user\Documents\Прайс\Доброцен\"/>
    </mc:Choice>
  </mc:AlternateContent>
  <xr:revisionPtr revIDLastSave="0" documentId="13_ncr:1_{CE95377F-EFFC-436C-B293-7E5382D4B877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8" i="1" l="1"/>
  <c r="F46" i="1"/>
  <c r="F49" i="1"/>
  <c r="F47" i="1"/>
  <c r="F45" i="1"/>
  <c r="F44" i="1"/>
  <c r="F43" i="1"/>
  <c r="F48" i="1"/>
  <c r="F42" i="1"/>
  <c r="F41" i="1"/>
  <c r="F40" i="1"/>
  <c r="F21" i="1"/>
  <c r="F22" i="1"/>
  <c r="F23" i="1"/>
  <c r="F24" i="1"/>
  <c r="F25" i="1"/>
  <c r="F26" i="1"/>
  <c r="F20" i="1"/>
  <c r="F50" i="1"/>
  <c r="F39" i="1"/>
  <c r="F38" i="1"/>
  <c r="F37" i="1"/>
  <c r="F36" i="1"/>
  <c r="F35" i="1"/>
  <c r="F34" i="1"/>
  <c r="F33" i="1"/>
  <c r="F32" i="1"/>
  <c r="F31" i="1"/>
  <c r="F30" i="1"/>
  <c r="F29" i="1"/>
  <c r="F27" i="1"/>
  <c r="F19" i="1"/>
  <c r="F18" i="1"/>
</calcChain>
</file>

<file path=xl/sharedStrings.xml><?xml version="1.0" encoding="utf-8"?>
<sst xmlns="http://schemas.openxmlformats.org/spreadsheetml/2006/main" count="73" uniqueCount="33">
  <si>
    <t>Наименование:</t>
  </si>
  <si>
    <t>Объем в литрах</t>
  </si>
  <si>
    <t>Мин.вода газир.Жалал-Абад№27</t>
  </si>
  <si>
    <t>1.5</t>
  </si>
  <si>
    <t>1.0</t>
  </si>
  <si>
    <t>0.5</t>
  </si>
  <si>
    <t>0.45</t>
  </si>
  <si>
    <t>Мин.вода газир."Келечек" стекло</t>
  </si>
  <si>
    <t>Мин.вода газир."Кара-Шоро" стекло</t>
  </si>
  <si>
    <t>Напиток газир. "Лимонад" стекло</t>
  </si>
  <si>
    <t>Напиток газир. "Лимонад экстра Тархун" стекло</t>
  </si>
  <si>
    <t>Напиток газир. "Лимонад экстра Груша" стекло</t>
  </si>
  <si>
    <t>Напиток газир. "Лимонад"</t>
  </si>
  <si>
    <t>Напиток газир. "Азия Кола"</t>
  </si>
  <si>
    <t>Напиток газир. "Гранат"</t>
  </si>
  <si>
    <t>Напиток газир. "Лимонад экстра СИТРО"</t>
  </si>
  <si>
    <t>Напиток газир. "Лимонад экста Тархун"</t>
  </si>
  <si>
    <t>Напиток газир. "Лимонад экстра Груша"</t>
  </si>
  <si>
    <t>Напиток газир. "К+ Витамины"</t>
  </si>
  <si>
    <t>Напиток газир. "Дюшес"</t>
  </si>
  <si>
    <t>Напиток газир. "Буратино"</t>
  </si>
  <si>
    <t>Ледниковая вода негаз. Адыгене</t>
  </si>
  <si>
    <t>Ледниковая вода негаз. Адыгене Мята</t>
  </si>
  <si>
    <t>Ледниковая вода негаз. Адыгене Лимон</t>
  </si>
  <si>
    <t>5.0</t>
  </si>
  <si>
    <t>10.0</t>
  </si>
  <si>
    <t>Артезианская вода Гималаи</t>
  </si>
  <si>
    <t>№</t>
  </si>
  <si>
    <t>Прайс Лист</t>
  </si>
  <si>
    <t>19.0</t>
  </si>
  <si>
    <t>Цена в блоках</t>
  </si>
  <si>
    <t>Цена в штуках</t>
  </si>
  <si>
    <t>Доброцен Куршаб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</si>
</sst>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[$сом-440]"/>
    <numFmt numFmtId="165" formatCode="[$$-409]#,##0.00"/>
  </numFmts>
  <fonts count="8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22"/>
      <color theme="1"/>
      <name val="Segoe Script"/>
      <family val="4"/>
      <charset val="204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49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0" borderId="2" xfId="0" applyBorder="1"/>
    <xf numFmtId="0" fontId="0" fillId="0" borderId="5" xfId="0" applyBorder="1"/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0" xfId="0" applyFont="1"/>
    <xf numFmtId="165" fontId="0" fillId="0" borderId="0" xfId="0" applyNumberFormat="1"/>
    <xf numFmtId="0" fontId="0" fillId="0" borderId="7" xfId="0" applyBorder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49" fontId="0" fillId="0" borderId="8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0" borderId="10" xfId="0" applyBorder="1"/>
    <xf numFmtId="49" fontId="0" fillId="0" borderId="10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123824</xdr:colOff>
      <xdr:row>1</xdr:row>
      <xdr:rowOff>0</xdr:rowOff>
    </xdr:from>
    <xdr:to>
      <xdr:col>2</xdr:col>
      <xdr:colOff>1819274</xdr:colOff>
      <xdr:row>4</xdr:row>
      <xdr:rowOff>66675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39F1411-1493-CE2D-5F4A-61AE6DD53CAD}"/>
            </a:ext>
          </a:extLst>
        </xdr:cNvPr>
        <xdr:cNvSpPr txBox="1"/>
      </xdr:nvSpPr>
      <xdr:spPr>
        <a:xfrm>
          <a:off x="361949" y="190500"/>
          <a:ext cx="1914525" cy="676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100" b="1" kern="1200"/>
            <a:t>«КЕЛЕЧЕК» </a:t>
          </a:r>
        </a:p>
        <a:p>
          <a:pPr algn="ctr"/>
          <a:r>
            <a:rPr lang="ru-RU" sz="1100" b="1" kern="1200"/>
            <a:t>ЖАБЫК АКЦИОНЕРДИК КООМУ</a:t>
          </a:r>
        </a:p>
      </xdr:txBody>
    </xdr:sp>
    <xdr:clientData/>
  </xdr:twoCellAnchor>
  <xdr:twoCellAnchor editAs="oneCell">
    <xdr:from>
      <xdr:col>2</xdr:col>
      <xdr:colOff>2362200</xdr:colOff>
      <xdr:row>0</xdr:row>
      <xdr:rowOff>19049</xdr:rowOff>
    </xdr:from>
    <xdr:to>
      <xdr:col>3</xdr:col>
      <xdr:colOff>276225</xdr:colOff>
      <xdr:row>4</xdr:row>
      <xdr:rowOff>161924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47A92FEE-F7E7-7E74-FDC1-96912F27A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9400" y="19049"/>
          <a:ext cx="952500" cy="942975"/>
        </a:xfrm>
        <a:prstGeom prst="rect">
          <a:avLst/>
        </a:prstGeom>
      </xdr:spPr>
    </xdr:pic>
    <xdr:clientData/>
  </xdr:twoCellAnchor>
  <xdr:twoCellAnchor>
    <xdr:from>
      <xdr:col>4</xdr:col>
      <xdr:colOff>9524</xdr:colOff>
      <xdr:row>1</xdr:row>
      <xdr:rowOff>0</xdr:rowOff>
    </xdr:from>
    <xdr:to>
      <xdr:col>6</xdr:col>
      <xdr:colOff>247649</xdr:colOff>
      <xdr:row>4</xdr:row>
      <xdr:rowOff>28575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4C17FA1-CDA0-06A5-B522-62ADA1458C1C}"/>
            </a:ext>
          </a:extLst>
        </xdr:cNvPr>
        <xdr:cNvSpPr txBox="1"/>
      </xdr:nvSpPr>
      <xdr:spPr>
        <a:xfrm>
          <a:off x="4267199" y="190500"/>
          <a:ext cx="2238375" cy="6381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«КЕЛЕЧЕК»</a:t>
          </a:r>
          <a:r>
            <a:rPr lang="ru-RU">
              <a:effectLst/>
            </a:rPr>
            <a:t> </a:t>
          </a:r>
        </a:p>
        <a:p>
          <a:pPr algn="ctr"/>
          <a:r>
            <a:rPr lang="ru-RU">
              <a:effectLst/>
            </a:rPr>
            <a:t> </a:t>
          </a:r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ЗАКРЫТОЕ АКЦИОНЕРНОЕ</a:t>
          </a:r>
          <a:r>
            <a:rPr lang="ru-RU">
              <a:effectLst/>
            </a:rPr>
            <a:t> </a:t>
          </a:r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ОБЩЕСТВО</a:t>
          </a:r>
          <a:r>
            <a:rPr lang="ru-RU">
              <a:effectLst/>
            </a:rPr>
            <a:t> </a:t>
          </a:r>
          <a:endParaRPr lang="ru-RU" sz="1100" kern="1200"/>
        </a:p>
      </xdr:txBody>
    </xdr:sp>
    <xdr:clientData/>
  </xdr:twoCellAnchor>
  <xdr:twoCellAnchor>
    <xdr:from>
      <xdr:col>1</xdr:col>
      <xdr:colOff>200025</xdr:colOff>
      <xdr:row>5</xdr:row>
      <xdr:rowOff>9526</xdr:rowOff>
    </xdr:from>
    <xdr:to>
      <xdr:col>2</xdr:col>
      <xdr:colOff>1590675</xdr:colOff>
      <xdr:row>7</xdr:row>
      <xdr:rowOff>180976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010381F-C369-2E75-7F31-84227F8F8D65}"/>
            </a:ext>
          </a:extLst>
        </xdr:cNvPr>
        <xdr:cNvSpPr txBox="1"/>
      </xdr:nvSpPr>
      <xdr:spPr>
        <a:xfrm>
          <a:off x="438150" y="1000126"/>
          <a:ext cx="1609725" cy="552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Кыргызская Республикасы</a:t>
          </a:r>
          <a:r>
            <a:rPr lang="ky-KG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720905,</a:t>
          </a:r>
          <a:r>
            <a:rPr lang="ky-KG" sz="9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Жалал-Абад ш. Алыкулова-1к.</a:t>
          </a:r>
          <a:endParaRPr lang="ru-RU" sz="900" kern="1200"/>
        </a:p>
      </xdr:txBody>
    </xdr:sp>
    <xdr:clientData/>
  </xdr:twoCellAnchor>
  <xdr:twoCellAnchor>
    <xdr:from>
      <xdr:col>4</xdr:col>
      <xdr:colOff>438149</xdr:colOff>
      <xdr:row>5</xdr:row>
      <xdr:rowOff>9525</xdr:rowOff>
    </xdr:from>
    <xdr:to>
      <xdr:col>6</xdr:col>
      <xdr:colOff>104774</xdr:colOff>
      <xdr:row>8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9620E57-DDF5-BAEC-79AC-AD8E90E6E6FF}"/>
            </a:ext>
          </a:extLst>
        </xdr:cNvPr>
        <xdr:cNvSpPr txBox="1"/>
      </xdr:nvSpPr>
      <xdr:spPr>
        <a:xfrm>
          <a:off x="4695824" y="1000125"/>
          <a:ext cx="1666875" cy="561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Кыргызская Республика г.Жалал-Абад. 720905, ул.Алыкулова-1</a:t>
          </a:r>
          <a:endParaRPr lang="ru-RU" sz="900" kern="1200"/>
        </a:p>
      </xdr:txBody>
    </xdr:sp>
    <xdr:clientData/>
  </xdr:twoCellAnchor>
  <xdr:twoCellAnchor>
    <xdr:from>
      <xdr:col>2</xdr:col>
      <xdr:colOff>2019300</xdr:colOff>
      <xdr:row>5</xdr:row>
      <xdr:rowOff>9525</xdr:rowOff>
    </xdr:from>
    <xdr:to>
      <xdr:col>3</xdr:col>
      <xdr:colOff>561975</xdr:colOff>
      <xdr:row>7</xdr:row>
      <xdr:rowOff>180975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7B8D5DD-3B11-2C90-81F4-4E849B1C67F3}"/>
            </a:ext>
          </a:extLst>
        </xdr:cNvPr>
        <xdr:cNvSpPr txBox="1"/>
      </xdr:nvSpPr>
      <xdr:spPr>
        <a:xfrm>
          <a:off x="2476500" y="1000125"/>
          <a:ext cx="1581150" cy="552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Е-</a:t>
          </a:r>
          <a:r>
            <a:rPr lang="en-US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mail: burulsun-pet@rambler.ru</a:t>
          </a:r>
          <a:r>
            <a:rPr lang="ru-RU" sz="8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факс: +996 3722 5 09 18</a:t>
          </a:r>
          <a:r>
            <a:rPr lang="ru-RU" sz="800"/>
            <a:t> </a:t>
          </a:r>
          <a:endParaRPr lang="ru-RU" sz="800" kern="1200"/>
        </a:p>
      </xdr:txBody>
    </xdr:sp>
    <xdr:clientData/>
  </xdr:twoCellAnchor>
  <xdr:twoCellAnchor>
    <xdr:from>
      <xdr:col>0</xdr:col>
      <xdr:colOff>95250</xdr:colOff>
      <xdr:row>9</xdr:row>
      <xdr:rowOff>76200</xdr:rowOff>
    </xdr:from>
    <xdr:to>
      <xdr:col>6</xdr:col>
      <xdr:colOff>228600</xdr:colOff>
      <xdr:row>11</xdr:row>
      <xdr:rowOff>161925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7748019-E507-727E-956A-1BD79C90BA4A}"/>
            </a:ext>
          </a:extLst>
        </xdr:cNvPr>
        <xdr:cNvSpPr txBox="1"/>
      </xdr:nvSpPr>
      <xdr:spPr>
        <a:xfrm>
          <a:off x="95250" y="1676400"/>
          <a:ext cx="6391275" cy="4667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kern="1200"/>
            <a:t>Чыгыш </a:t>
          </a:r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«____»</a:t>
          </a:r>
          <a:r>
            <a:rPr lang="ru-RU">
              <a:effectLst/>
            </a:rPr>
            <a:t>                                                                                                                    </a:t>
          </a:r>
          <a:r>
            <a:rPr lang="ru-RU" baseline="0">
              <a:effectLst/>
            </a:rPr>
            <a:t> </a:t>
          </a:r>
          <a:r>
            <a:rPr lang="ru-RU">
              <a:effectLst/>
            </a:rPr>
            <a:t> Директор фил.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«Бурулсун»</a:t>
          </a:r>
        </a:p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«____»____________2025ж                                                                                              ___________Туманов Н.К.</a:t>
          </a:r>
          <a:endParaRPr lang="ru-RU" sz="1100" kern="1200"/>
        </a:p>
      </xdr:txBody>
    </xdr:sp>
    <xdr:clientData/>
  </xdr:twoCellAnchor>
  <xdr:twoCellAnchor>
    <xdr:from>
      <xdr:col>0</xdr:col>
      <xdr:colOff>0</xdr:colOff>
      <xdr:row>50</xdr:row>
      <xdr:rowOff>171450</xdr:rowOff>
    </xdr:from>
    <xdr:to>
      <xdr:col>7</xdr:col>
      <xdr:colOff>209550</xdr:colOff>
      <xdr:row>56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39C141D-5D79-4594-AF0F-C1180FD6BDB3}"/>
            </a:ext>
          </a:extLst>
        </xdr:cNvPr>
        <xdr:cNvSpPr txBox="1"/>
      </xdr:nvSpPr>
      <xdr:spPr>
        <a:xfrm>
          <a:off x="0" y="9791700"/>
          <a:ext cx="6781800" cy="990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kern="1200"/>
            <a:t>      Гл. Бухгалтер</a:t>
          </a:r>
          <a:r>
            <a:rPr lang="ru-RU" sz="1100" kern="1200" baseline="0"/>
            <a:t>                                       </a:t>
          </a:r>
          <a:r>
            <a:rPr lang="ru-RU" sz="1100" u="sng" kern="1200" baseline="0"/>
            <a:t>                                                       </a:t>
          </a:r>
          <a:r>
            <a:rPr lang="ru-RU" sz="1100" kern="1200" baseline="0"/>
            <a:t>                            </a:t>
          </a:r>
          <a:r>
            <a:rPr lang="ru-RU" sz="1100" u="sng" kern="1200" baseline="0"/>
            <a:t>              Осмонова Д.</a:t>
          </a:r>
          <a:r>
            <a:rPr lang="ru-RU" sz="1100" u="none" kern="1200" baseline="0"/>
            <a:t>_______ </a:t>
          </a:r>
          <a:r>
            <a:rPr lang="ru-RU" sz="1100" kern="1200" baseline="0"/>
            <a:t>       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kern="1200" baseline="0"/>
            <a:t>                                                                                             </a:t>
          </a:r>
          <a:r>
            <a:rPr lang="ru-RU" sz="800" kern="1200" baseline="0"/>
            <a:t>Подпись  </a:t>
          </a:r>
          <a:r>
            <a:rPr lang="ru-RU" sz="1100" kern="1200" baseline="0"/>
            <a:t>                                                        </a:t>
          </a:r>
          <a:r>
            <a:rPr lang="ru-RU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Расшифровка подписи</a:t>
          </a:r>
          <a:endParaRPr lang="ru-RU" sz="1100" kern="12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kern="1200" baseline="0"/>
            <a:t>              </a:t>
          </a:r>
          <a:r>
            <a:rPr lang="ru-RU" sz="800" kern="1200" baseline="0"/>
            <a:t> М.П.</a:t>
          </a:r>
        </a:p>
        <a:p>
          <a:r>
            <a:rPr lang="ru-RU" sz="1100" kern="1200" baseline="0"/>
            <a:t>      Менеджер сбыта                               </a:t>
          </a:r>
          <a:r>
            <a:rPr lang="ru-RU" sz="1100" u="sng" kern="1200" baseline="0"/>
            <a:t>                                                       </a:t>
          </a:r>
          <a:r>
            <a:rPr lang="ru-RU" sz="1100" kern="1200" baseline="0"/>
            <a:t>                            </a:t>
          </a:r>
          <a:r>
            <a:rPr lang="ru-RU" sz="1100" u="sng" kern="1200" baseline="0"/>
            <a:t>             Жолболдыев А.___</a:t>
          </a:r>
          <a:r>
            <a:rPr lang="ru-RU" sz="1100" kern="1200" baseline="0"/>
            <a:t>__</a:t>
          </a:r>
        </a:p>
        <a:p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                                        </a:t>
          </a:r>
          <a:r>
            <a:rPr lang="ru-RU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Подпись   </a:t>
          </a:r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  </a:t>
          </a:r>
          <a:r>
            <a:rPr lang="ru-RU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Расшифровка подписи</a:t>
          </a:r>
          <a:endParaRPr lang="ru-RU" sz="800">
            <a:effectLst/>
          </a:endParaRPr>
        </a:p>
        <a:p>
          <a:r>
            <a:rPr lang="ru-RU" sz="1100" kern="1200" baseline="0"/>
            <a:t> </a:t>
          </a:r>
          <a:endParaRPr lang="ru-RU" sz="1100" kern="1200"/>
        </a:p>
      </xdr:txBody>
    </xdr:sp>
    <xdr:clientData/>
  </xdr:twoCellAnchor>
  <xdr:twoCellAnchor editAs="oneCell">
    <xdr:from>
      <xdr:col>1</xdr:col>
      <xdr:colOff>2798</xdr:colOff>
      <xdr:row>17</xdr:row>
      <xdr:rowOff>109815</xdr:rowOff>
    </xdr:from>
    <xdr:to>
      <xdr:col>5</xdr:col>
      <xdr:colOff>990598</xdr:colOff>
      <xdr:row>49</xdr:row>
      <xdr:rowOff>24091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F65D7ABD-0778-DAE3-15C9-47A02340B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1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2" y="3628462"/>
          <a:ext cx="6008035" cy="60102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G50"/>
  <sheetViews>
    <sheetView tabSelected="1" zoomScale="85" zoomScaleNormal="85" workbookViewId="0">
      <selection activeCell="K28" sqref="K28"/>
    </sheetView>
  </sheetViews>
  <sheetFormatPr defaultRowHeight="15" x14ac:dyDescent="0.25"/>
  <cols>
    <col min="1" max="1" width="3.5703125" customWidth="1"/>
    <col min="2" max="2" width="3.28515625" customWidth="1"/>
    <col min="3" max="3" width="45.5703125" bestFit="1" customWidth="1"/>
    <col min="4" max="4" width="11.42578125" bestFit="1" customWidth="1"/>
    <col min="5" max="6" width="15" customWidth="1"/>
    <col min="7" max="7" width="4.7109375" customWidth="1"/>
    <col min="8" max="8" width="4.140625" customWidth="1"/>
  </cols>
  <sheetData>
    <row r="2" spans="1:7" ht="16.5" customHeight="1" x14ac:dyDescent="0.35">
      <c r="A2" s="9"/>
      <c r="B2" s="9"/>
      <c r="C2" s="9"/>
      <c r="D2" s="9"/>
      <c r="E2" s="9"/>
      <c r="F2" s="9"/>
    </row>
    <row r="4" spans="1:7" ht="16.5" customHeight="1" x14ac:dyDescent="0.25"/>
    <row r="5" spans="1:7" x14ac:dyDescent="0.25">
      <c r="G5" s="10"/>
    </row>
    <row r="9" spans="1:7" ht="3" customHeight="1" thickBot="1" x14ac:dyDescent="0.3">
      <c r="A9" s="11"/>
      <c r="B9" s="11"/>
      <c r="C9" s="11"/>
      <c r="D9" s="11"/>
      <c r="E9" s="11"/>
      <c r="F9" s="11"/>
      <c r="G9" s="11"/>
    </row>
    <row r="13" spans="1:7" ht="24" customHeight="1" x14ac:dyDescent="0.25">
      <c r="B13" s="27" t="s">
        <v>28</v>
      </c>
      <c r="C13" s="27"/>
      <c r="D13" s="27"/>
      <c r="E13" s="27"/>
      <c r="F13" s="27"/>
    </row>
    <row r="14" spans="1:7" ht="20.25" customHeight="1" x14ac:dyDescent="0.25">
      <c r="B14" s="28" t="s">
        <v>32</v>
      </c>
      <c r="C14" s="28"/>
      <c r="D14" s="28"/>
      <c r="E14" s="28"/>
      <c r="F14" s="28"/>
    </row>
    <row r="16" spans="1:7" ht="15.75" thickBot="1" x14ac:dyDescent="0.3">
      <c r="E16" s="12"/>
      <c r="F16" s="13"/>
    </row>
    <row r="17" spans="2:6" ht="38.25" thickBot="1" x14ac:dyDescent="0.3">
      <c r="B17" s="23" t="s">
        <v>27</v>
      </c>
      <c r="C17" s="24" t="s">
        <v>0</v>
      </c>
      <c r="D17" s="25" t="s">
        <v>1</v>
      </c>
      <c r="E17" s="25" t="s">
        <v>31</v>
      </c>
      <c r="F17" s="26" t="s">
        <v>30</v>
      </c>
    </row>
    <row r="18" spans="2:6" x14ac:dyDescent="0.25">
      <c r="B18" s="18">
        <v>1</v>
      </c>
      <c r="C18" s="19" t="s">
        <v>2</v>
      </c>
      <c r="D18" s="20" t="s">
        <v>3</v>
      </c>
      <c r="E18" s="21">
        <v>52</v>
      </c>
      <c r="F18" s="22">
        <f>E18*9</f>
        <v>468</v>
      </c>
    </row>
    <row r="19" spans="2:6" x14ac:dyDescent="0.25">
      <c r="B19" s="7">
        <v>2</v>
      </c>
      <c r="C19" s="5" t="s">
        <v>2</v>
      </c>
      <c r="D19" s="1" t="s">
        <v>4</v>
      </c>
      <c r="E19" s="2">
        <v>43</v>
      </c>
      <c r="F19" s="16">
        <f>E19*9</f>
        <v>387</v>
      </c>
    </row>
    <row r="20" spans="2:6" x14ac:dyDescent="0.25">
      <c r="B20" s="7">
        <v>3</v>
      </c>
      <c r="C20" s="5" t="s">
        <v>2</v>
      </c>
      <c r="D20" s="1" t="s">
        <v>5</v>
      </c>
      <c r="E20" s="2">
        <v>30</v>
      </c>
      <c r="F20" s="16">
        <f>E20*12</f>
        <v>360</v>
      </c>
    </row>
    <row r="21" spans="2:6" x14ac:dyDescent="0.25">
      <c r="B21" s="7">
        <v>4</v>
      </c>
      <c r="C21" s="5" t="s">
        <v>2</v>
      </c>
      <c r="D21" s="1" t="s">
        <v>6</v>
      </c>
      <c r="E21" s="2">
        <v>55</v>
      </c>
      <c r="F21" s="16">
        <f t="shared" ref="F21:F26" si="0">E21*12</f>
        <v>660</v>
      </c>
    </row>
    <row r="22" spans="2:6" x14ac:dyDescent="0.25">
      <c r="B22" s="7">
        <v>5</v>
      </c>
      <c r="C22" s="5" t="s">
        <v>7</v>
      </c>
      <c r="D22" s="1" t="s">
        <v>6</v>
      </c>
      <c r="E22" s="2">
        <v>55</v>
      </c>
      <c r="F22" s="16">
        <f t="shared" si="0"/>
        <v>660</v>
      </c>
    </row>
    <row r="23" spans="2:6" x14ac:dyDescent="0.25">
      <c r="B23" s="7">
        <v>6</v>
      </c>
      <c r="C23" s="5" t="s">
        <v>8</v>
      </c>
      <c r="D23" s="1" t="s">
        <v>6</v>
      </c>
      <c r="E23" s="2">
        <v>80</v>
      </c>
      <c r="F23" s="16">
        <f t="shared" si="0"/>
        <v>960</v>
      </c>
    </row>
    <row r="24" spans="2:6" x14ac:dyDescent="0.25">
      <c r="B24" s="7">
        <v>7</v>
      </c>
      <c r="C24" s="5" t="s">
        <v>9</v>
      </c>
      <c r="D24" s="1" t="s">
        <v>6</v>
      </c>
      <c r="E24" s="2">
        <v>60</v>
      </c>
      <c r="F24" s="16">
        <f t="shared" si="0"/>
        <v>720</v>
      </c>
    </row>
    <row r="25" spans="2:6" x14ac:dyDescent="0.25">
      <c r="B25" s="7">
        <v>8</v>
      </c>
      <c r="C25" s="5" t="s">
        <v>10</v>
      </c>
      <c r="D25" s="1" t="s">
        <v>6</v>
      </c>
      <c r="E25" s="2">
        <v>60</v>
      </c>
      <c r="F25" s="16">
        <f t="shared" si="0"/>
        <v>720</v>
      </c>
    </row>
    <row r="26" spans="2:6" x14ac:dyDescent="0.25">
      <c r="B26" s="7">
        <v>9</v>
      </c>
      <c r="C26" s="5" t="s">
        <v>11</v>
      </c>
      <c r="D26" s="1" t="s">
        <v>6</v>
      </c>
      <c r="E26" s="2">
        <v>60</v>
      </c>
      <c r="F26" s="16">
        <f t="shared" si="0"/>
        <v>720</v>
      </c>
    </row>
    <row r="27" spans="2:6" x14ac:dyDescent="0.25">
      <c r="B27" s="7">
        <v>10</v>
      </c>
      <c r="C27" s="5" t="s">
        <v>12</v>
      </c>
      <c r="D27" s="1" t="s">
        <v>4</v>
      </c>
      <c r="E27" s="2">
        <v>56</v>
      </c>
      <c r="F27" s="16">
        <f>E27*9</f>
        <v>504</v>
      </c>
    </row>
    <row r="28" spans="2:6" x14ac:dyDescent="0.25">
      <c r="B28" s="7">
        <v>11</v>
      </c>
      <c r="C28" s="5" t="s">
        <v>12</v>
      </c>
      <c r="D28" s="1" t="s">
        <v>3</v>
      </c>
      <c r="E28" s="2">
        <v>71</v>
      </c>
      <c r="F28" s="16">
        <f>E28*6</f>
        <v>426</v>
      </c>
    </row>
    <row r="29" spans="2:6" x14ac:dyDescent="0.25">
      <c r="B29" s="7">
        <v>12</v>
      </c>
      <c r="C29" s="5" t="s">
        <v>13</v>
      </c>
      <c r="D29" s="1" t="s">
        <v>4</v>
      </c>
      <c r="E29" s="2">
        <v>56</v>
      </c>
      <c r="F29" s="16">
        <f t="shared" ref="F29:F39" si="1">E29*9</f>
        <v>504</v>
      </c>
    </row>
    <row r="30" spans="2:6" x14ac:dyDescent="0.25">
      <c r="B30" s="7">
        <v>13</v>
      </c>
      <c r="C30" s="5" t="s">
        <v>14</v>
      </c>
      <c r="D30" s="1" t="s">
        <v>4</v>
      </c>
      <c r="E30" s="2">
        <v>60</v>
      </c>
      <c r="F30" s="16">
        <f t="shared" si="1"/>
        <v>540</v>
      </c>
    </row>
    <row r="31" spans="2:6" x14ac:dyDescent="0.25">
      <c r="B31" s="7">
        <v>14</v>
      </c>
      <c r="C31" s="5" t="s">
        <v>15</v>
      </c>
      <c r="D31" s="1" t="s">
        <v>4</v>
      </c>
      <c r="E31" s="2">
        <v>56</v>
      </c>
      <c r="F31" s="16">
        <f t="shared" si="1"/>
        <v>504</v>
      </c>
    </row>
    <row r="32" spans="2:6" x14ac:dyDescent="0.25">
      <c r="B32" s="7">
        <v>15</v>
      </c>
      <c r="C32" s="5" t="s">
        <v>16</v>
      </c>
      <c r="D32" s="1" t="s">
        <v>4</v>
      </c>
      <c r="E32" s="2">
        <v>56</v>
      </c>
      <c r="F32" s="16">
        <f t="shared" si="1"/>
        <v>504</v>
      </c>
    </row>
    <row r="33" spans="2:6" x14ac:dyDescent="0.25">
      <c r="B33" s="7">
        <v>16</v>
      </c>
      <c r="C33" s="5" t="s">
        <v>17</v>
      </c>
      <c r="D33" s="1" t="s">
        <v>4</v>
      </c>
      <c r="E33" s="2">
        <v>56</v>
      </c>
      <c r="F33" s="16">
        <f t="shared" si="1"/>
        <v>504</v>
      </c>
    </row>
    <row r="34" spans="2:6" x14ac:dyDescent="0.25">
      <c r="B34" s="7">
        <v>17</v>
      </c>
      <c r="C34" s="5" t="s">
        <v>18</v>
      </c>
      <c r="D34" s="1" t="s">
        <v>4</v>
      </c>
      <c r="E34" s="2">
        <v>40</v>
      </c>
      <c r="F34" s="16">
        <f t="shared" si="1"/>
        <v>360</v>
      </c>
    </row>
    <row r="35" spans="2:6" x14ac:dyDescent="0.25">
      <c r="B35" s="7">
        <v>18</v>
      </c>
      <c r="C35" s="5" t="s">
        <v>19</v>
      </c>
      <c r="D35" s="1" t="s">
        <v>4</v>
      </c>
      <c r="E35" s="2">
        <v>30</v>
      </c>
      <c r="F35" s="16">
        <f t="shared" si="1"/>
        <v>270</v>
      </c>
    </row>
    <row r="36" spans="2:6" x14ac:dyDescent="0.25">
      <c r="B36" s="7">
        <v>19</v>
      </c>
      <c r="C36" s="5" t="s">
        <v>20</v>
      </c>
      <c r="D36" s="1" t="s">
        <v>4</v>
      </c>
      <c r="E36" s="2">
        <v>30</v>
      </c>
      <c r="F36" s="16">
        <f t="shared" si="1"/>
        <v>270</v>
      </c>
    </row>
    <row r="37" spans="2:6" x14ac:dyDescent="0.25">
      <c r="B37" s="7">
        <v>20</v>
      </c>
      <c r="C37" s="5" t="s">
        <v>21</v>
      </c>
      <c r="D37" s="1" t="s">
        <v>4</v>
      </c>
      <c r="E37" s="2">
        <v>25</v>
      </c>
      <c r="F37" s="16">
        <f t="shared" si="1"/>
        <v>225</v>
      </c>
    </row>
    <row r="38" spans="2:6" x14ac:dyDescent="0.25">
      <c r="B38" s="7">
        <v>21</v>
      </c>
      <c r="C38" s="5" t="s">
        <v>22</v>
      </c>
      <c r="D38" s="1" t="s">
        <v>4</v>
      </c>
      <c r="E38" s="2">
        <v>31</v>
      </c>
      <c r="F38" s="16">
        <f t="shared" si="1"/>
        <v>279</v>
      </c>
    </row>
    <row r="39" spans="2:6" x14ac:dyDescent="0.25">
      <c r="B39" s="7">
        <v>22</v>
      </c>
      <c r="C39" s="5" t="s">
        <v>23</v>
      </c>
      <c r="D39" s="1" t="s">
        <v>4</v>
      </c>
      <c r="E39" s="2">
        <v>31</v>
      </c>
      <c r="F39" s="16">
        <f t="shared" si="1"/>
        <v>279</v>
      </c>
    </row>
    <row r="40" spans="2:6" x14ac:dyDescent="0.25">
      <c r="B40" s="7">
        <v>23</v>
      </c>
      <c r="C40" s="5" t="s">
        <v>22</v>
      </c>
      <c r="D40" s="1" t="s">
        <v>5</v>
      </c>
      <c r="E40" s="2">
        <v>25</v>
      </c>
      <c r="F40" s="16">
        <f t="shared" ref="F40:F42" si="2">E40*12</f>
        <v>300</v>
      </c>
    </row>
    <row r="41" spans="2:6" x14ac:dyDescent="0.25">
      <c r="B41" s="7">
        <v>24</v>
      </c>
      <c r="C41" s="5" t="s">
        <v>23</v>
      </c>
      <c r="D41" s="1" t="s">
        <v>5</v>
      </c>
      <c r="E41" s="2">
        <v>25</v>
      </c>
      <c r="F41" s="16">
        <f t="shared" si="2"/>
        <v>300</v>
      </c>
    </row>
    <row r="42" spans="2:6" x14ac:dyDescent="0.25">
      <c r="B42" s="7">
        <v>25</v>
      </c>
      <c r="C42" s="5" t="s">
        <v>21</v>
      </c>
      <c r="D42" s="1" t="s">
        <v>5</v>
      </c>
      <c r="E42" s="2">
        <v>20</v>
      </c>
      <c r="F42" s="16">
        <f t="shared" si="2"/>
        <v>240</v>
      </c>
    </row>
    <row r="43" spans="2:6" x14ac:dyDescent="0.25">
      <c r="B43" s="7">
        <v>26</v>
      </c>
      <c r="C43" s="5" t="s">
        <v>21</v>
      </c>
      <c r="D43" s="1" t="s">
        <v>24</v>
      </c>
      <c r="E43" s="2">
        <v>60</v>
      </c>
      <c r="F43" s="16">
        <f>E43*2</f>
        <v>120</v>
      </c>
    </row>
    <row r="44" spans="2:6" x14ac:dyDescent="0.25">
      <c r="B44" s="7">
        <v>27</v>
      </c>
      <c r="C44" s="5" t="s">
        <v>21</v>
      </c>
      <c r="D44" s="1" t="s">
        <v>25</v>
      </c>
      <c r="E44" s="2">
        <v>90</v>
      </c>
      <c r="F44" s="16">
        <f>E44*1</f>
        <v>90</v>
      </c>
    </row>
    <row r="45" spans="2:6" x14ac:dyDescent="0.25">
      <c r="B45" s="7">
        <v>28</v>
      </c>
      <c r="C45" s="5" t="s">
        <v>21</v>
      </c>
      <c r="D45" s="1" t="s">
        <v>29</v>
      </c>
      <c r="E45" s="2">
        <v>170</v>
      </c>
      <c r="F45" s="16">
        <f>E45*1</f>
        <v>170</v>
      </c>
    </row>
    <row r="46" spans="2:6" x14ac:dyDescent="0.25">
      <c r="B46" s="7">
        <v>29</v>
      </c>
      <c r="C46" s="5" t="s">
        <v>26</v>
      </c>
      <c r="D46" s="1" t="s">
        <v>24</v>
      </c>
      <c r="E46" s="2">
        <v>50</v>
      </c>
      <c r="F46" s="16">
        <f>E46*2</f>
        <v>100</v>
      </c>
    </row>
    <row r="47" spans="2:6" x14ac:dyDescent="0.25">
      <c r="B47" s="7">
        <v>30</v>
      </c>
      <c r="C47" s="5" t="s">
        <v>26</v>
      </c>
      <c r="D47" s="1" t="s">
        <v>25</v>
      </c>
      <c r="E47" s="2">
        <v>75</v>
      </c>
      <c r="F47" s="16">
        <f>E47*1</f>
        <v>75</v>
      </c>
    </row>
    <row r="48" spans="2:6" x14ac:dyDescent="0.25">
      <c r="B48" s="7">
        <v>31</v>
      </c>
      <c r="C48" s="5" t="s">
        <v>26</v>
      </c>
      <c r="D48" s="1" t="s">
        <v>5</v>
      </c>
      <c r="E48" s="2">
        <v>15</v>
      </c>
      <c r="F48" s="16">
        <f t="shared" ref="F48" si="3">E48*12</f>
        <v>180</v>
      </c>
    </row>
    <row r="49" spans="2:6" x14ac:dyDescent="0.25">
      <c r="B49" s="7">
        <v>32</v>
      </c>
      <c r="C49" s="5" t="s">
        <v>26</v>
      </c>
      <c r="D49" s="14" t="s">
        <v>29</v>
      </c>
      <c r="E49" s="15">
        <v>150</v>
      </c>
      <c r="F49" s="16">
        <f>E49*1</f>
        <v>150</v>
      </c>
    </row>
    <row r="50" spans="2:6" ht="15.75" thickBot="1" x14ac:dyDescent="0.3">
      <c r="B50" s="8">
        <v>33</v>
      </c>
      <c r="C50" s="6" t="s">
        <v>26</v>
      </c>
      <c r="D50" s="3" t="s">
        <v>4</v>
      </c>
      <c r="E50" s="4">
        <v>20</v>
      </c>
      <c r="F50" s="17">
        <f>E50*9</f>
        <v>180</v>
      </c>
    </row>
  </sheetData>
  <mergeCells count="2">
    <mergeCell ref="B13:F13"/>
    <mergeCell ref="B14:F14"/>
  </mergeCells>
  <phoneticPr fontId="7" type="noConversion"/>
  <pageMargins left="0" right="0" top="0" bottom="0" header="0" footer="0"/>
  <pageSetup paperSize="9" scale="94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cp:lastPrinted>2025-04-21T04:31:19Z</cp:lastPrinted>
  <dcterms:created xsi:type="dcterms:W3CDTF">2015-06-05T18:17:20Z</dcterms:created>
  <dcterms:modified xsi:type="dcterms:W3CDTF">2025-04-21T04:31:21Z</dcterms:modified>
</cp:coreProperties>
</file>