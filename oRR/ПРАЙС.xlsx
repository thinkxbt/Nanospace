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32391B3-BB2F-4C6A-99E9-27FAC3176E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2" i="1" l="1"/>
  <c r="F49" i="1"/>
  <c r="F45" i="1"/>
  <c r="F44" i="1"/>
  <c r="F35" i="1"/>
  <c r="F31" i="1"/>
  <c r="F29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2" i="1"/>
  <c r="F33" i="1"/>
  <c r="F34" i="1"/>
  <c r="F36" i="1"/>
  <c r="F37" i="1"/>
  <c r="F38" i="1"/>
  <c r="F39" i="1"/>
  <c r="F40" i="1"/>
  <c r="F41" i="1"/>
  <c r="F42" i="1"/>
  <c r="F43" i="1"/>
  <c r="F46" i="1"/>
  <c r="F47" i="1"/>
  <c r="F48" i="1"/>
  <c r="F50" i="1"/>
  <c r="F51" i="1"/>
  <c r="F53" i="1"/>
  <c r="F54" i="1"/>
  <c r="F55" i="1"/>
  <c r="F56" i="1"/>
</calcChain>
</file>

<file path=xl/sharedStrings.xml><?xml version="1.0" encoding="utf-8"?>
<sst xmlns="http://schemas.openxmlformats.org/spreadsheetml/2006/main" count="87" uniqueCount="36">
  <si>
    <t>Прайс Лист</t>
  </si>
  <si>
    <t>Заводской</t>
  </si>
  <si>
    <t>№</t>
  </si>
  <si>
    <t>Наименование:</t>
  </si>
  <si>
    <t>Объем в литрах</t>
  </si>
  <si>
    <t>Цена в штуках</t>
  </si>
  <si>
    <t>Цена в блоках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</si>
  <si>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</si>
  <si>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</si>
  <si>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</si>
  <si>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</si>
  <si>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</si>
  <si>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</si>
  <si>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</si>
  <si>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</si>
  <si>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</si>
  <si>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</si>
  <si>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</si>
  <si>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</si>
  <si>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</si>
  <si>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</si>
  <si>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</si>
  <si>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</si>
  <si>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</si>
  <si>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</si>
  <si>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</si>
  <si>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</si>
  <si>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</si>
  <si>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19.0</t>
  </si>
  <si>
    <t>1</t>
  </si>
  <si>
    <t>Напиток газир. "Мохито"</t>
  </si>
  <si>
    <t>Напиток газир. "Лимонад экстра Тархун"</t>
  </si>
  <si>
    <t>Негаз-ая Артезианская вода Гималаи</t>
  </si>
  <si>
    <t>0,33</t>
  </si>
  <si>
    <t>1,5</t>
  </si>
  <si>
    <t>Газ-ая Артезианская вода Гималаи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</si>
</sst>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5" fontId="0" fillId="0" borderId="0" xfId="0" applyNumberFormat="1"/>
    <xf numFmtId="0" fontId="0" fillId="0" borderId="6" xfId="0" applyBorder="1"/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42A7979-BB29-42BC-9DD7-AF015312C4CB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5</xdr:row>
      <xdr:rowOff>9524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4A700B9-14D7-41DF-89AA-82393CB4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4A84B0-CCF3-4F8F-93AA-AF3EC6AA0F44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FFBB72-AC1D-4FE5-989A-DC433C8F1A39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F89CD9E-EE6E-47D4-A24E-62DB0A6ED2E8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CF3A94-38EA-48B8-96CE-935A9172CECA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6F056DA-923C-4C77-A26D-ABAF3BAC44D6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7</xdr:col>
      <xdr:colOff>209550</xdr:colOff>
      <xdr:row>62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4B5171-FE1E-45E8-99ED-F0389DC5242B}"/>
            </a:ext>
          </a:extLst>
        </xdr:cNvPr>
        <xdr:cNvSpPr txBox="1"/>
      </xdr:nvSpPr>
      <xdr:spPr>
        <a:xfrm>
          <a:off x="0" y="113538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6"/>
  <sheetViews>
    <sheetView tabSelected="1" zoomScale="70" zoomScaleNormal="70" workbookViewId="0">
      <selection activeCell="J7" sqref="J7"/>
    </sheetView>
  </sheetViews>
  <sheetFormatPr defaultRowHeight="15" x14ac:dyDescent="0.25"/>
  <cols>
    <col min="1" max="1" width="3.5703125" style="1" customWidth="1"/>
    <col min="2" max="2" width="3.28515625" style="1" customWidth="1"/>
    <col min="3" max="3" width="45.5703125" style="1" bestFit="1" customWidth="1"/>
    <col min="4" max="4" width="11.42578125" style="1" bestFit="1" customWidth="1"/>
    <col min="5" max="6" width="15" style="1" customWidth="1"/>
    <col min="7" max="7" width="4.7109375" style="1" customWidth="1"/>
    <col min="8" max="8" width="4.140625" style="1" customWidth="1"/>
    <col min="9" max="16384" width="9.140625" style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18" t="s">
        <v>0</v>
      </c>
      <c r="C13" s="18"/>
      <c r="D13" s="18"/>
      <c r="E13" s="18"/>
      <c r="F13" s="18"/>
    </row>
    <row r="14" spans="1:7" ht="13.5" customHeight="1" x14ac:dyDescent="0.25">
      <c r="B14" s="19" t="s">
        <v>1</v>
      </c>
      <c r="C14" s="19"/>
      <c r="D14" s="19"/>
      <c r="E14" s="19"/>
      <c r="F14" s="19"/>
    </row>
    <row r="15" spans="1:7" ht="15.75" thickBot="1" x14ac:dyDescent="0.3"/>
    <row r="16" spans="1:7" ht="38.25" thickBot="1" x14ac:dyDescent="0.3">
      <c r="B16" s="14" t="s">
        <v>2</v>
      </c>
      <c r="C16" s="15" t="s">
        <v>3</v>
      </c>
      <c r="D16" s="16" t="s">
        <v>4</v>
      </c>
      <c r="E16" s="16" t="s">
        <v>5</v>
      </c>
      <c r="F16" s="17" t="s">
        <v>6</v>
      </c>
    </row>
    <row r="17" spans="2:6" x14ac:dyDescent="0.25">
      <c r="B17" s="8">
        <v>1</v>
      </c>
      <c r="C17" s="6" t="s">
        <v>13</v>
      </c>
      <c r="D17" s="2" t="s">
        <v>11</v>
      </c>
      <c r="E17" s="3">
        <v>80</v>
      </c>
      <c r="F17" s="12">
        <f>E17*12</f>
        <v>960</v>
      </c>
    </row>
    <row r="18" spans="2:6" x14ac:dyDescent="0.25">
      <c r="B18" s="8">
        <v>2</v>
      </c>
      <c r="C18" s="6" t="s">
        <v>12</v>
      </c>
      <c r="D18" s="2" t="s">
        <v>11</v>
      </c>
      <c r="E18" s="3">
        <v>60</v>
      </c>
      <c r="F18" s="12">
        <f>E18*12</f>
        <v>720</v>
      </c>
    </row>
    <row r="19" spans="2:6" x14ac:dyDescent="0.25">
      <c r="B19" s="8">
        <v>3</v>
      </c>
      <c r="C19" s="6" t="s">
        <v>7</v>
      </c>
      <c r="D19" s="2" t="s">
        <v>11</v>
      </c>
      <c r="E19" s="3">
        <v>60</v>
      </c>
      <c r="F19" s="12">
        <f>E19*12</f>
        <v>720</v>
      </c>
    </row>
    <row r="20" spans="2:6" x14ac:dyDescent="0.25">
      <c r="B20" s="8">
        <v>4</v>
      </c>
      <c r="C20" s="6" t="s">
        <v>7</v>
      </c>
      <c r="D20" s="2" t="s">
        <v>10</v>
      </c>
      <c r="E20" s="3">
        <v>33</v>
      </c>
      <c r="F20" s="12">
        <f>E20*12</f>
        <v>396</v>
      </c>
    </row>
    <row r="21" spans="2:6" x14ac:dyDescent="0.25">
      <c r="B21" s="8">
        <v>5</v>
      </c>
      <c r="C21" s="6" t="s">
        <v>7</v>
      </c>
      <c r="D21" s="2" t="s">
        <v>9</v>
      </c>
      <c r="E21" s="3">
        <v>46</v>
      </c>
      <c r="F21" s="12">
        <f>E21*9</f>
        <v>414</v>
      </c>
    </row>
    <row r="22" spans="2:6" x14ac:dyDescent="0.25">
      <c r="B22" s="8">
        <v>6</v>
      </c>
      <c r="C22" s="6" t="s">
        <v>7</v>
      </c>
      <c r="D22" s="2" t="s">
        <v>8</v>
      </c>
      <c r="E22" s="3">
        <v>56</v>
      </c>
      <c r="F22" s="12">
        <f>E22*9</f>
        <v>504</v>
      </c>
    </row>
    <row r="23" spans="2:6" x14ac:dyDescent="0.25">
      <c r="B23" s="8">
        <v>7</v>
      </c>
      <c r="C23" s="6" t="s">
        <v>14</v>
      </c>
      <c r="D23" s="2" t="s">
        <v>11</v>
      </c>
      <c r="E23" s="3">
        <v>65</v>
      </c>
      <c r="F23" s="12">
        <f>E23*12</f>
        <v>780</v>
      </c>
    </row>
    <row r="24" spans="2:6" x14ac:dyDescent="0.25">
      <c r="B24" s="8">
        <v>8</v>
      </c>
      <c r="C24" s="6" t="s">
        <v>15</v>
      </c>
      <c r="D24" s="2" t="s">
        <v>10</v>
      </c>
      <c r="E24" s="3">
        <v>30</v>
      </c>
      <c r="F24" s="12">
        <f>E24*12</f>
        <v>360</v>
      </c>
    </row>
    <row r="25" spans="2:6" x14ac:dyDescent="0.25">
      <c r="B25" s="8">
        <v>9</v>
      </c>
      <c r="C25" s="6" t="s">
        <v>15</v>
      </c>
      <c r="D25" s="2" t="s">
        <v>9</v>
      </c>
      <c r="E25" s="3">
        <v>60</v>
      </c>
      <c r="F25" s="12">
        <f>E25*9</f>
        <v>540</v>
      </c>
    </row>
    <row r="26" spans="2:6" x14ac:dyDescent="0.25">
      <c r="B26" s="8">
        <v>10</v>
      </c>
      <c r="C26" s="6" t="s">
        <v>15</v>
      </c>
      <c r="D26" s="2" t="s">
        <v>8</v>
      </c>
      <c r="E26" s="3">
        <v>75</v>
      </c>
      <c r="F26" s="12">
        <f>E26*6</f>
        <v>450</v>
      </c>
    </row>
    <row r="27" spans="2:6" x14ac:dyDescent="0.25">
      <c r="B27" s="8">
        <v>11</v>
      </c>
      <c r="C27" s="6" t="s">
        <v>16</v>
      </c>
      <c r="D27" s="2" t="s">
        <v>9</v>
      </c>
      <c r="E27" s="3">
        <v>60</v>
      </c>
      <c r="F27" s="12">
        <f t="shared" ref="F27:F28" si="0">E27*9</f>
        <v>540</v>
      </c>
    </row>
    <row r="28" spans="2:6" x14ac:dyDescent="0.25">
      <c r="B28" s="8">
        <v>12</v>
      </c>
      <c r="C28" s="6" t="s">
        <v>30</v>
      </c>
      <c r="D28" s="2" t="s">
        <v>9</v>
      </c>
      <c r="E28" s="3">
        <v>60</v>
      </c>
      <c r="F28" s="12">
        <f t="shared" si="0"/>
        <v>540</v>
      </c>
    </row>
    <row r="29" spans="2:6" x14ac:dyDescent="0.25">
      <c r="B29" s="8">
        <v>13</v>
      </c>
      <c r="C29" s="6" t="s">
        <v>30</v>
      </c>
      <c r="D29" s="2" t="s">
        <v>10</v>
      </c>
      <c r="E29" s="3">
        <v>30</v>
      </c>
      <c r="F29" s="12">
        <f>E29*12</f>
        <v>360</v>
      </c>
    </row>
    <row r="30" spans="2:6" x14ac:dyDescent="0.25">
      <c r="B30" s="8">
        <v>14</v>
      </c>
      <c r="C30" s="6" t="s">
        <v>31</v>
      </c>
      <c r="D30" s="2" t="s">
        <v>9</v>
      </c>
      <c r="E30" s="3">
        <v>60</v>
      </c>
      <c r="F30" s="12">
        <f>E30*9</f>
        <v>540</v>
      </c>
    </row>
    <row r="31" spans="2:6" x14ac:dyDescent="0.25">
      <c r="B31" s="8">
        <v>15</v>
      </c>
      <c r="C31" s="6" t="s">
        <v>31</v>
      </c>
      <c r="D31" s="2" t="s">
        <v>10</v>
      </c>
      <c r="E31" s="3">
        <v>30</v>
      </c>
      <c r="F31" s="12">
        <f>E31*12</f>
        <v>360</v>
      </c>
    </row>
    <row r="32" spans="2:6" x14ac:dyDescent="0.25">
      <c r="B32" s="8">
        <v>16</v>
      </c>
      <c r="C32" s="6" t="s">
        <v>19</v>
      </c>
      <c r="D32" s="2" t="s">
        <v>9</v>
      </c>
      <c r="E32" s="3">
        <v>60</v>
      </c>
      <c r="F32" s="12">
        <f t="shared" ref="F32:F34" si="1">E32*9</f>
        <v>540</v>
      </c>
    </row>
    <row r="33" spans="2:6" x14ac:dyDescent="0.25">
      <c r="B33" s="8">
        <v>17</v>
      </c>
      <c r="C33" s="6" t="s">
        <v>18</v>
      </c>
      <c r="D33" s="2" t="s">
        <v>9</v>
      </c>
      <c r="E33" s="3">
        <v>60</v>
      </c>
      <c r="F33" s="12">
        <f t="shared" si="1"/>
        <v>540</v>
      </c>
    </row>
    <row r="34" spans="2:6" x14ac:dyDescent="0.25">
      <c r="B34" s="8">
        <v>18</v>
      </c>
      <c r="C34" s="6" t="s">
        <v>17</v>
      </c>
      <c r="D34" s="2" t="s">
        <v>9</v>
      </c>
      <c r="E34" s="3">
        <v>60</v>
      </c>
      <c r="F34" s="12">
        <f t="shared" si="1"/>
        <v>540</v>
      </c>
    </row>
    <row r="35" spans="2:6" x14ac:dyDescent="0.25">
      <c r="B35" s="8">
        <v>19</v>
      </c>
      <c r="C35" s="6" t="s">
        <v>17</v>
      </c>
      <c r="D35" s="2" t="s">
        <v>10</v>
      </c>
      <c r="E35" s="3">
        <v>30</v>
      </c>
      <c r="F35" s="12">
        <f>E35*12</f>
        <v>360</v>
      </c>
    </row>
    <row r="36" spans="2:6" x14ac:dyDescent="0.25">
      <c r="B36" s="8">
        <v>20</v>
      </c>
      <c r="C36" s="6" t="s">
        <v>20</v>
      </c>
      <c r="D36" s="2" t="s">
        <v>9</v>
      </c>
      <c r="E36" s="3">
        <v>45</v>
      </c>
      <c r="F36" s="12">
        <f t="shared" ref="F36:F38" si="2">E36*9</f>
        <v>405</v>
      </c>
    </row>
    <row r="37" spans="2:6" x14ac:dyDescent="0.25">
      <c r="B37" s="8">
        <v>21</v>
      </c>
      <c r="C37" s="6" t="s">
        <v>22</v>
      </c>
      <c r="D37" s="2" t="s">
        <v>9</v>
      </c>
      <c r="E37" s="3">
        <v>33</v>
      </c>
      <c r="F37" s="12">
        <f t="shared" si="2"/>
        <v>297</v>
      </c>
    </row>
    <row r="38" spans="2:6" x14ac:dyDescent="0.25">
      <c r="B38" s="8">
        <v>22</v>
      </c>
      <c r="C38" s="6" t="s">
        <v>21</v>
      </c>
      <c r="D38" s="2" t="s">
        <v>9</v>
      </c>
      <c r="E38" s="3">
        <v>33</v>
      </c>
      <c r="F38" s="12">
        <f t="shared" si="2"/>
        <v>297</v>
      </c>
    </row>
    <row r="39" spans="2:6" x14ac:dyDescent="0.25">
      <c r="B39" s="8">
        <v>23</v>
      </c>
      <c r="C39" s="6" t="s">
        <v>32</v>
      </c>
      <c r="D39" s="2" t="s">
        <v>10</v>
      </c>
      <c r="E39" s="3">
        <v>15</v>
      </c>
      <c r="F39" s="12">
        <f>E39*12</f>
        <v>180</v>
      </c>
    </row>
    <row r="40" spans="2:6" x14ac:dyDescent="0.25">
      <c r="B40" s="8">
        <v>24</v>
      </c>
      <c r="C40" s="6" t="s">
        <v>32</v>
      </c>
      <c r="D40" s="2" t="s">
        <v>9</v>
      </c>
      <c r="E40" s="3">
        <v>20</v>
      </c>
      <c r="F40" s="12">
        <f>E40*9</f>
        <v>180</v>
      </c>
    </row>
    <row r="41" spans="2:6" x14ac:dyDescent="0.25">
      <c r="B41" s="8">
        <v>25</v>
      </c>
      <c r="C41" s="6" t="s">
        <v>32</v>
      </c>
      <c r="D41" s="2" t="s">
        <v>26</v>
      </c>
      <c r="E41" s="3">
        <v>55</v>
      </c>
      <c r="F41" s="12">
        <f>E41*2</f>
        <v>110</v>
      </c>
    </row>
    <row r="42" spans="2:6" x14ac:dyDescent="0.25">
      <c r="B42" s="8">
        <v>26</v>
      </c>
      <c r="C42" s="6" t="s">
        <v>32</v>
      </c>
      <c r="D42" s="2" t="s">
        <v>27</v>
      </c>
      <c r="E42" s="3">
        <v>80</v>
      </c>
      <c r="F42" s="12">
        <f>E42*1</f>
        <v>80</v>
      </c>
    </row>
    <row r="43" spans="2:6" x14ac:dyDescent="0.25">
      <c r="B43" s="8">
        <v>27</v>
      </c>
      <c r="C43" s="6" t="s">
        <v>32</v>
      </c>
      <c r="D43" s="2" t="s">
        <v>28</v>
      </c>
      <c r="E43" s="3">
        <v>170</v>
      </c>
      <c r="F43" s="12">
        <f>E43*1</f>
        <v>170</v>
      </c>
    </row>
    <row r="44" spans="2:6" x14ac:dyDescent="0.25">
      <c r="B44" s="8">
        <v>28</v>
      </c>
      <c r="C44" s="6" t="s">
        <v>35</v>
      </c>
      <c r="D44" s="2" t="s">
        <v>10</v>
      </c>
      <c r="E44" s="3">
        <v>25</v>
      </c>
      <c r="F44" s="12">
        <f>E44*12</f>
        <v>300</v>
      </c>
    </row>
    <row r="45" spans="2:6" x14ac:dyDescent="0.25">
      <c r="B45" s="8">
        <v>29</v>
      </c>
      <c r="C45" s="6" t="s">
        <v>35</v>
      </c>
      <c r="D45" s="2" t="s">
        <v>29</v>
      </c>
      <c r="E45" s="3">
        <v>30</v>
      </c>
      <c r="F45" s="12">
        <f>E45*9</f>
        <v>270</v>
      </c>
    </row>
    <row r="46" spans="2:6" x14ac:dyDescent="0.25">
      <c r="B46" s="8">
        <v>30</v>
      </c>
      <c r="C46" s="6" t="s">
        <v>23</v>
      </c>
      <c r="D46" s="2" t="s">
        <v>33</v>
      </c>
      <c r="E46" s="3">
        <v>19</v>
      </c>
      <c r="F46" s="12">
        <f>E46*12</f>
        <v>228</v>
      </c>
    </row>
    <row r="47" spans="2:6" x14ac:dyDescent="0.25">
      <c r="B47" s="8">
        <v>31</v>
      </c>
      <c r="C47" s="6" t="s">
        <v>23</v>
      </c>
      <c r="D47" s="2" t="s">
        <v>10</v>
      </c>
      <c r="E47" s="3">
        <v>25</v>
      </c>
      <c r="F47" s="12">
        <f>E47*12</f>
        <v>300</v>
      </c>
    </row>
    <row r="48" spans="2:6" x14ac:dyDescent="0.25">
      <c r="B48" s="8">
        <v>32</v>
      </c>
      <c r="C48" s="6" t="s">
        <v>23</v>
      </c>
      <c r="D48" s="2" t="s">
        <v>9</v>
      </c>
      <c r="E48" s="3">
        <v>32</v>
      </c>
      <c r="F48" s="12">
        <f>E48*9</f>
        <v>288</v>
      </c>
    </row>
    <row r="49" spans="2:6" x14ac:dyDescent="0.25">
      <c r="B49" s="8">
        <v>33</v>
      </c>
      <c r="C49" s="6" t="s">
        <v>23</v>
      </c>
      <c r="D49" s="2" t="s">
        <v>34</v>
      </c>
      <c r="E49" s="3">
        <v>37</v>
      </c>
      <c r="F49" s="12">
        <f>E49*6</f>
        <v>222</v>
      </c>
    </row>
    <row r="50" spans="2:6" x14ac:dyDescent="0.25">
      <c r="B50" s="8">
        <v>34</v>
      </c>
      <c r="C50" s="6" t="s">
        <v>23</v>
      </c>
      <c r="D50" s="2" t="s">
        <v>26</v>
      </c>
      <c r="E50" s="3">
        <v>65</v>
      </c>
      <c r="F50" s="12">
        <f>E50*2</f>
        <v>130</v>
      </c>
    </row>
    <row r="51" spans="2:6" x14ac:dyDescent="0.25">
      <c r="B51" s="8">
        <v>35</v>
      </c>
      <c r="C51" s="6" t="s">
        <v>23</v>
      </c>
      <c r="D51" s="2" t="s">
        <v>27</v>
      </c>
      <c r="E51" s="3">
        <v>95</v>
      </c>
      <c r="F51" s="12">
        <f>E51*1</f>
        <v>95</v>
      </c>
    </row>
    <row r="52" spans="2:6" x14ac:dyDescent="0.25">
      <c r="B52" s="8">
        <v>36</v>
      </c>
      <c r="C52" s="6" t="s">
        <v>23</v>
      </c>
      <c r="D52" s="2" t="s">
        <v>28</v>
      </c>
      <c r="E52" s="3">
        <v>190</v>
      </c>
      <c r="F52" s="12">
        <f>E52*1</f>
        <v>190</v>
      </c>
    </row>
    <row r="53" spans="2:6" x14ac:dyDescent="0.25">
      <c r="B53" s="8">
        <v>37</v>
      </c>
      <c r="C53" s="6" t="s">
        <v>25</v>
      </c>
      <c r="D53" s="2" t="s">
        <v>10</v>
      </c>
      <c r="E53" s="3">
        <v>30</v>
      </c>
      <c r="F53" s="12">
        <f>E53*12</f>
        <v>360</v>
      </c>
    </row>
    <row r="54" spans="2:6" x14ac:dyDescent="0.25">
      <c r="B54" s="8">
        <v>38</v>
      </c>
      <c r="C54" s="6" t="s">
        <v>25</v>
      </c>
      <c r="D54" s="2" t="s">
        <v>9</v>
      </c>
      <c r="E54" s="3">
        <v>40</v>
      </c>
      <c r="F54" s="12">
        <f>E54*9</f>
        <v>360</v>
      </c>
    </row>
    <row r="55" spans="2:6" x14ac:dyDescent="0.25">
      <c r="B55" s="8">
        <v>39</v>
      </c>
      <c r="C55" s="6" t="s">
        <v>24</v>
      </c>
      <c r="D55" s="2" t="s">
        <v>10</v>
      </c>
      <c r="E55" s="3">
        <v>30</v>
      </c>
      <c r="F55" s="12">
        <f>E55*12</f>
        <v>360</v>
      </c>
    </row>
    <row r="56" spans="2:6" ht="15.75" thickBot="1" x14ac:dyDescent="0.3">
      <c r="B56" s="8">
        <v>40</v>
      </c>
      <c r="C56" s="7" t="s">
        <v>24</v>
      </c>
      <c r="D56" s="4" t="s">
        <v>9</v>
      </c>
      <c r="E56" s="5">
        <v>40</v>
      </c>
      <c r="F56" s="13">
        <f>E56*9</f>
        <v>360</v>
      </c>
    </row>
  </sheetData>
  <mergeCells count="2">
    <mergeCell ref="B13:F13"/>
    <mergeCell ref="B14:F14"/>
  </mergeCells>
  <phoneticPr fontId="5" type="noConversion"/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2026-05-05T11:09:50Z</cp:lastPrinted>
  <dcterms:created xsi:type="dcterms:W3CDTF">2015-06-05T18:17:20Z</dcterms:created>
  <dcterms:modified xsi:type="dcterms:W3CDTF">2026-05-15T05:57:41Z</dcterms:modified>
</cp:coreProperties>
</file>