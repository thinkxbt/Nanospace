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8131026-2E82-4D09-8662-5F9D1AD206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53" i="1" l="1"/>
  <c r="S152" i="1"/>
  <c r="S151" i="1"/>
  <c r="S150" i="1"/>
  <c r="O165" i="1"/>
  <c r="O168" i="1"/>
  <c r="O167" i="1"/>
  <c r="O166" i="1"/>
  <c r="K197" i="1"/>
  <c r="K196" i="1"/>
  <c r="K195" i="1"/>
  <c r="K194" i="1"/>
  <c r="G194" i="1"/>
  <c r="G192" i="1"/>
  <c r="G191" i="1"/>
  <c r="C153" i="1"/>
  <c r="G193" i="1"/>
  <c r="C156" i="1"/>
  <c r="C155" i="1"/>
  <c r="C154" i="1"/>
  <c r="AG7" i="1" l="1"/>
  <c r="AF7" i="1"/>
  <c r="AE7" i="1"/>
  <c r="AD7" i="1"/>
  <c r="AG3" i="1" l="1"/>
  <c r="AF3" i="1"/>
  <c r="AE3" i="1"/>
  <c r="AD3" i="1"/>
  <c r="AF4" i="1"/>
  <c r="AG4" i="1"/>
  <c r="AF5" i="1"/>
  <c r="AE5" i="1"/>
  <c r="AD5" i="1"/>
  <c r="AG6" i="1"/>
  <c r="AF6" i="1"/>
  <c r="AE6" i="1"/>
  <c r="AD6" i="1"/>
  <c r="AG5" i="1"/>
  <c r="AD9" i="1" l="1"/>
  <c r="AE9" i="1"/>
  <c r="AG9" i="1"/>
  <c r="AF9" i="1"/>
</calcChain>
</file>

<file path=xl/sharedStrings.xml><?xml version="1.0" encoding="utf-8"?>
<sst xmlns="http://schemas.openxmlformats.org/spreadsheetml/2006/main" count="1669" uniqueCount="832">
  <si>
    <t>№</t>
  </si>
  <si>
    <t>Наименование</t>
  </si>
  <si>
    <t>Категория</t>
  </si>
  <si>
    <t>(ВЛКСМ) Нур</t>
  </si>
  <si>
    <t>СЕВЕР</t>
  </si>
  <si>
    <t>С</t>
  </si>
  <si>
    <t>(Киров) Шехро</t>
  </si>
  <si>
    <t>(Кызыл-Сенир) Кызыл-Сенир</t>
  </si>
  <si>
    <t>(Кызыл-Сенир) Нурэл</t>
  </si>
  <si>
    <t>ЮГ</t>
  </si>
  <si>
    <t>ВОСТОК</t>
  </si>
  <si>
    <t>B</t>
  </si>
  <si>
    <t>D</t>
  </si>
  <si>
    <t>СУЗAК</t>
  </si>
  <si>
    <t>A</t>
  </si>
  <si>
    <t>(Ж.Шерматова) Карагат (Оре-чайхана№1)</t>
  </si>
  <si>
    <t>(Могол) Сапар маг</t>
  </si>
  <si>
    <t>(СМУ) Маркет СМУ 5-мектеп</t>
  </si>
  <si>
    <t>(СМУ) Фаиз (№5 школа)</t>
  </si>
  <si>
    <t>(Чехова) Имангазы</t>
  </si>
  <si>
    <t>(Чехова) Кел-Кел</t>
  </si>
  <si>
    <t>(Чехова) Нур</t>
  </si>
  <si>
    <t>(Чехова) НурЭл</t>
  </si>
  <si>
    <t>(Чехова) Эльмар</t>
  </si>
  <si>
    <t>(Шопокова) Киш-Миш</t>
  </si>
  <si>
    <t>(Шопокова) Манго</t>
  </si>
  <si>
    <t>(Шопокова) Нур</t>
  </si>
  <si>
    <t>(Шопокова) Чынар</t>
  </si>
  <si>
    <t>(Шопокова) Эмирхан</t>
  </si>
  <si>
    <t>(Ынтымак ЖП) Раяна</t>
  </si>
  <si>
    <t>(Ынтымак ЖП) Сапаров 25</t>
  </si>
  <si>
    <t>(Ынтымак) Зам Зам</t>
  </si>
  <si>
    <t>(Ынтымак) Маг. Ынтымак</t>
  </si>
  <si>
    <t>(Ынтымак) Саян</t>
  </si>
  <si>
    <t>(Ынтымак) Тилек</t>
  </si>
  <si>
    <t>(Ынтымак) Эркайым</t>
  </si>
  <si>
    <t>Могол маг.Могол</t>
  </si>
  <si>
    <t>(Тоголок Молдо) Жыргал</t>
  </si>
  <si>
    <t>(Чехова) Удача</t>
  </si>
  <si>
    <t>(Ынтымак ЖП) Элдик</t>
  </si>
  <si>
    <t>(Ынтымак) Каду</t>
  </si>
  <si>
    <t>(Ж.Шерматова) Жылуу булак</t>
  </si>
  <si>
    <t>(Курманбек 8-кочо) Лайм</t>
  </si>
  <si>
    <t>(Курманбек) Кыпчак (Мырзакулболуш)</t>
  </si>
  <si>
    <t>(Курманбек) Мин туркун (Резиденция)</t>
  </si>
  <si>
    <t>(Курманбек) Султанмурат Мырзакулболуш</t>
  </si>
  <si>
    <t>C</t>
  </si>
  <si>
    <t>(Аль Мадина) Адеми</t>
  </si>
  <si>
    <t>(Аль Мадина) Радуга 22209199001667</t>
  </si>
  <si>
    <t>(Аль-Мадина) Азамат</t>
  </si>
  <si>
    <t>(Аль-Мадина) Аида</t>
  </si>
  <si>
    <t>(Аль-Мадина) Атабек</t>
  </si>
  <si>
    <t>(Аль-Мадина) Байболсун</t>
  </si>
  <si>
    <t>(Аль-Мадина) Байэл</t>
  </si>
  <si>
    <t>(Аль-Мадина) Гавриловка</t>
  </si>
  <si>
    <t>(Аль-Мадина) Данияр</t>
  </si>
  <si>
    <t>(Аль-Мадина) Досназар</t>
  </si>
  <si>
    <t>(Аль-Мадина) Кок-Арт</t>
  </si>
  <si>
    <t>(Аль-Мадина) Кок-Жангак 26568680324</t>
  </si>
  <si>
    <t>(Аль-Мадина) Кубаныч</t>
  </si>
  <si>
    <t>(Аль-Мадина) Кут-Ордо</t>
  </si>
  <si>
    <t>(Аль-Мадина) Магнит</t>
  </si>
  <si>
    <t>(Аль-Мадина) Махабат</t>
  </si>
  <si>
    <t>(Аль-Мадина) Мукарам</t>
  </si>
  <si>
    <t>(Аль-Мадина) Нари</t>
  </si>
  <si>
    <t>(Аль-Мадина) Нургазы 2</t>
  </si>
  <si>
    <t>(Аль-Мадина) Нургиза</t>
  </si>
  <si>
    <t>(Аль-Мадина) Нуржигит</t>
  </si>
  <si>
    <t>(Аль-Мадина) Санжар</t>
  </si>
  <si>
    <t>(Аль-Мадина) Султан</t>
  </si>
  <si>
    <t>(Аль-Мадина) Султан 2</t>
  </si>
  <si>
    <t>(Аль-Мадина) Урматай</t>
  </si>
  <si>
    <t>(Аль-Мадина) Юсра</t>
  </si>
  <si>
    <t>(Б.Осмонов) Зулпукар Ата</t>
  </si>
  <si>
    <t>(Б.Осмонов) Кок-Жангак (СМУ)</t>
  </si>
  <si>
    <t>(Б.Осмонов) Маркет Дастаркон</t>
  </si>
  <si>
    <t>(Б.Осмонов) Эркинай</t>
  </si>
  <si>
    <t>(Балтагулова) 7-я</t>
  </si>
  <si>
    <t>(Балтагулова) Барсбек</t>
  </si>
  <si>
    <t>(Балтагулова) Баяна</t>
  </si>
  <si>
    <t>(Балтагулова) Бенза АЗС (Курманбек)</t>
  </si>
  <si>
    <t>(Балтагулова) Иман</t>
  </si>
  <si>
    <t>(Балтагулова) Казына Маркет</t>
  </si>
  <si>
    <t>(ВЛКСМ) Береке</t>
  </si>
  <si>
    <t>(ВЛКСМ) Гермес</t>
  </si>
  <si>
    <t>(ВЛКСМ) Зикир Ата</t>
  </si>
  <si>
    <t>(Гулистан) Анар</t>
  </si>
  <si>
    <t>(Гулистан) Базарбай ата</t>
  </si>
  <si>
    <t>(Гулистан) Гулистан</t>
  </si>
  <si>
    <t>(Дзержинский) Ихлас</t>
  </si>
  <si>
    <t>(Дзержинский) Омат</t>
  </si>
  <si>
    <t>(Достук) Азык-Тулук</t>
  </si>
  <si>
    <t>(Достук) Алма</t>
  </si>
  <si>
    <t>(Достук) ЛЮКС</t>
  </si>
  <si>
    <t>(Достук) Маркет Бегимай-2</t>
  </si>
  <si>
    <t>(Достук) Нур</t>
  </si>
  <si>
    <t>(Ж.Бакиев) Толкун</t>
  </si>
  <si>
    <t>(Ж.Шерматова) Азия Ордо (Такта базар)</t>
  </si>
  <si>
    <t>(Ж.Шерматова) Бай-Азык+</t>
  </si>
  <si>
    <t>(Ж.Шерматова) Камок Байхан</t>
  </si>
  <si>
    <t>(Ж.Шерматова) Капуста 2</t>
  </si>
  <si>
    <t>(Красина) Апельсин</t>
  </si>
  <si>
    <t>(Красина) Аруузат</t>
  </si>
  <si>
    <t>(Красина) Байаман</t>
  </si>
  <si>
    <t>(Красина) Байтик</t>
  </si>
  <si>
    <t>(Красина) Маркет Жумабай-Ата</t>
  </si>
  <si>
    <t>(Красина) Сумая</t>
  </si>
  <si>
    <t>(Красина) Шерзат</t>
  </si>
  <si>
    <t>(Курманбек 17-кочо) Ашан</t>
  </si>
  <si>
    <t>(Курманбек 21-кочо) Ала-Тоо</t>
  </si>
  <si>
    <t>(Курманбек 3-кочо) Бексултан</t>
  </si>
  <si>
    <t>(Курманбек 3-кочо) Фейз-Береке</t>
  </si>
  <si>
    <t>(Курманбек) Амина (Резиденция)</t>
  </si>
  <si>
    <t>(Курманбек) Арзан+ (10-кочо)</t>
  </si>
  <si>
    <t>(Манас) Бегимай СМУ</t>
  </si>
  <si>
    <t>(Матросова) Арууке</t>
  </si>
  <si>
    <t>(Матросова) Байэл (Манас)</t>
  </si>
  <si>
    <t>(Матросова) Уй-Булолук</t>
  </si>
  <si>
    <t>(Матросова) Эл учун</t>
  </si>
  <si>
    <t>(Налоговой) Мариям Дукону</t>
  </si>
  <si>
    <t>(СМУ) Аделя</t>
  </si>
  <si>
    <t>(СМУ) Аскат</t>
  </si>
  <si>
    <t>(СМУ) Баяна</t>
  </si>
  <si>
    <t>(СМУ) Береке Остановка</t>
  </si>
  <si>
    <t>(СМУ) Береке-Файз 5-мектеп</t>
  </si>
  <si>
    <t>(СМУ) Гульнара эже  Базарчик</t>
  </si>
  <si>
    <t>(СМУ) Даанакан  базарчик</t>
  </si>
  <si>
    <t>(Такта базар) Адико магазин</t>
  </si>
  <si>
    <t>(Чехова) Адинай</t>
  </si>
  <si>
    <t>(Чехова) Айдар</t>
  </si>
  <si>
    <t>(Чехова) Айзат</t>
  </si>
  <si>
    <t>(Чехова) Айси</t>
  </si>
  <si>
    <t>(Чехова) Ак Тилек</t>
  </si>
  <si>
    <t>(Чехова) Арууке</t>
  </si>
  <si>
    <t>(Чехова) Арча</t>
  </si>
  <si>
    <t>(Чехова) Канат Келечек 20201200500065</t>
  </si>
  <si>
    <t>(Чехова) Контейнер(юг сити)</t>
  </si>
  <si>
    <t>(Чехова) Люкс</t>
  </si>
  <si>
    <t>(Чехова) Максат (Картошка базар)</t>
  </si>
  <si>
    <t>(Чехова) Нурсулу</t>
  </si>
  <si>
    <t>(Чехова) Россия</t>
  </si>
  <si>
    <t>(Шопокова) Арген</t>
  </si>
  <si>
    <t>(Шопокова) Асия</t>
  </si>
  <si>
    <t>(Шопокова) Барс</t>
  </si>
  <si>
    <t>(Шопокова) Манас</t>
  </si>
  <si>
    <t>(Ынтымак ЖП) Айзирек</t>
  </si>
  <si>
    <t>(Ынтымак ЖП) Акылай</t>
  </si>
  <si>
    <t>(Ынтымак ЖП) Алтынай</t>
  </si>
  <si>
    <t>(Ынтымак ЖП) Алымбек (Круговой)</t>
  </si>
  <si>
    <t>(Ынтымак) Азия+</t>
  </si>
  <si>
    <t>(Ынтымак) Айым</t>
  </si>
  <si>
    <t>(Ынтымак) Ак Тилек</t>
  </si>
  <si>
    <t>(Ынтымак) Амир (Арууке (Круговой)</t>
  </si>
  <si>
    <t>(Ынтымак) Асема</t>
  </si>
  <si>
    <t>(Ынтымак) Аскан</t>
  </si>
  <si>
    <t>(Ынтымак) Байэл</t>
  </si>
  <si>
    <t>(Ынтымак) Дуйшобай (заправка)</t>
  </si>
  <si>
    <t>(Ынтымак) Жумабай-Ата</t>
  </si>
  <si>
    <t>(Ынтымак) Манго Госрегистр</t>
  </si>
  <si>
    <t>(Ынтымак) Тажибай Ата (Круговой)</t>
  </si>
  <si>
    <t>(Ынтымак) Ырыскелди</t>
  </si>
  <si>
    <t>Могол  маг.Айкол</t>
  </si>
  <si>
    <t>(Арал айылы) Имран</t>
  </si>
  <si>
    <t>(Арал) Анаркан</t>
  </si>
  <si>
    <t>(Бек Абад Таможня) Тез Татым 2</t>
  </si>
  <si>
    <t>(Бек Абад) центр Эки Дос</t>
  </si>
  <si>
    <t>(Бек-Абад) №12 Азык-Тулук</t>
  </si>
  <si>
    <t>(Бек-Абад) Адий. (Таможня)</t>
  </si>
  <si>
    <t>(Бек-Абад) Азык-тулук</t>
  </si>
  <si>
    <t>(Бек-Абад) Айсулуу 12</t>
  </si>
  <si>
    <t>(Бек-Абад) Акбар центр</t>
  </si>
  <si>
    <t>(Бек-Абад) Ак-Кайын</t>
  </si>
  <si>
    <t>(Бек-Абад) Арзыбек 12</t>
  </si>
  <si>
    <t>(Бек-Абад) Аслан-Ата Таможня</t>
  </si>
  <si>
    <t>(Бек-Абад) Бон Бон маг. Таможня</t>
  </si>
  <si>
    <t>(Бек-Абад) Дасторкон</t>
  </si>
  <si>
    <t>(Бек-Абад) Караван</t>
  </si>
  <si>
    <t>(Бек-Абад) Магнат</t>
  </si>
  <si>
    <t>(Бек-Абад) Милана центр</t>
  </si>
  <si>
    <t>(Бек-Абад) Миллион 12</t>
  </si>
  <si>
    <t>(Бек-Абад) Мин туркун</t>
  </si>
  <si>
    <t>(Бек-Абад) Мини маркет</t>
  </si>
  <si>
    <t>(Бек-Абад) Минутка. Таможня</t>
  </si>
  <si>
    <t>(Бек-Абад) Тез татым маг. Таможня</t>
  </si>
  <si>
    <t>(Бек-Абад) Увайс</t>
  </si>
  <si>
    <t>(Бек-Абад) Чолпонай центр</t>
  </si>
  <si>
    <t>(Бек-Абад) Ырыскы</t>
  </si>
  <si>
    <t>(Бек-Абад) Элер центр</t>
  </si>
  <si>
    <t>(Бек-Абад) Эрмек центр</t>
  </si>
  <si>
    <t>(Боз айыл окмот) Боз</t>
  </si>
  <si>
    <t>(Боз айыл окмот) Мадина Сузак</t>
  </si>
  <si>
    <t>(Боз) Дехкан Ата</t>
  </si>
  <si>
    <t>(Боз) Каримжан Ата</t>
  </si>
  <si>
    <t>(Боз) Кудратилла Ажы</t>
  </si>
  <si>
    <t>(Боз) Низомидин</t>
  </si>
  <si>
    <t>(Боз) Рахматилла</t>
  </si>
  <si>
    <t>(Домор) Азык-Тулуктор</t>
  </si>
  <si>
    <t>(Домор) Береке</t>
  </si>
  <si>
    <t>(Домор) Домор</t>
  </si>
  <si>
    <t>(Домор) Тейит</t>
  </si>
  <si>
    <t>(Жийде Арал) Жийде Арал</t>
  </si>
  <si>
    <t>(Жийде Арал) Зам-Зам</t>
  </si>
  <si>
    <t>(Жийде Арал) Хузайфа</t>
  </si>
  <si>
    <t>(Жийде Арал) Ясмин</t>
  </si>
  <si>
    <t>(Жийде) Азык тулук (Уч кочо)</t>
  </si>
  <si>
    <t>(Жийде) Жийде Нуру</t>
  </si>
  <si>
    <t>(Жийде) Исабек</t>
  </si>
  <si>
    <t>(Жийде) Кыпчак-Ордо</t>
  </si>
  <si>
    <t>(Жийде) Мухсина</t>
  </si>
  <si>
    <t>(Жийде) Совхоз</t>
  </si>
  <si>
    <t>(Жийде) Совхоз Жийде 2</t>
  </si>
  <si>
    <t>(Жийде) Танка</t>
  </si>
  <si>
    <t>(Жийде) Танка Адылбек</t>
  </si>
  <si>
    <t>(Кайрагач) Алибек</t>
  </si>
  <si>
    <t>(Кайрагач) Береке</t>
  </si>
  <si>
    <t>(Кайрагач) Вахиджон</t>
  </si>
  <si>
    <t>(Кайрагач) Имона</t>
  </si>
  <si>
    <t>(Кайрагач) Мухаммад Расул</t>
  </si>
  <si>
    <t>(Кайрагач) Нурсултан</t>
  </si>
  <si>
    <t>(Кайрагач) Рамзан</t>
  </si>
  <si>
    <t>(Кайрагач) Руслан</t>
  </si>
  <si>
    <t>(Кайрагач) Самардин</t>
  </si>
  <si>
    <t>(Кайрагач) Саткинжан ажы</t>
  </si>
  <si>
    <t>(Кайрагач) Сумая</t>
  </si>
  <si>
    <t>(Кайрагач) Хажы</t>
  </si>
  <si>
    <t>(Камыш Башы) Мухаммад</t>
  </si>
  <si>
    <t>(Камыш Башы) Нышанбай ажы</t>
  </si>
  <si>
    <t>(Камыш Башы) Пазылжан- Ата</t>
  </si>
  <si>
    <t>(Камыш Башы) Юлчи-Ата</t>
  </si>
  <si>
    <t>(Кара-Дарыя) Азамат</t>
  </si>
  <si>
    <t>(Кара-Дарыя) Айнура</t>
  </si>
  <si>
    <t>(Кара-Дарыя) Алинур</t>
  </si>
  <si>
    <t>(Кара-Дарыя) Жыргалбек</t>
  </si>
  <si>
    <t>(Кара-Дарыя) Замир</t>
  </si>
  <si>
    <t>(Кара-Дарыя) Калыбай ата</t>
  </si>
  <si>
    <t>(Кара-Дарыя) Камалидин</t>
  </si>
  <si>
    <t>(Кара-Дарыя) Лимон</t>
  </si>
  <si>
    <t>(Кара-Дарыя) Маматисак</t>
  </si>
  <si>
    <t>(Кара-Дарыя) Мин туркун</t>
  </si>
  <si>
    <t>(Кара-Дарыя) Мухаммад Али</t>
  </si>
  <si>
    <t>(Кара-Дарыя) Мухтар ажы</t>
  </si>
  <si>
    <t>(Кара-Дарыя) Полот ата</t>
  </si>
  <si>
    <t>(Кара-Дарыя) Таалай</t>
  </si>
  <si>
    <t>(Киров) Акрам Ата</t>
  </si>
  <si>
    <t>(Киров) Бобир</t>
  </si>
  <si>
    <t>(Киров) Зам-Зам</t>
  </si>
  <si>
    <t>(Киров) Мадина</t>
  </si>
  <si>
    <t>(Киров) Минимаркет</t>
  </si>
  <si>
    <t>(Киров) Сардор</t>
  </si>
  <si>
    <t>(Киров) Ташкилат</t>
  </si>
  <si>
    <t>(Киров) Хуршид</t>
  </si>
  <si>
    <t>(Киров) Юсуф-ажы</t>
  </si>
  <si>
    <t>(Кызыл Жар) Камбар-Ата</t>
  </si>
  <si>
    <t>(Кызыл-Жар) Аскар ата</t>
  </si>
  <si>
    <t>(Кызыл-Жар) Жанпулат-Ата</t>
  </si>
  <si>
    <t>(Кызыл-Жар) Имрон</t>
  </si>
  <si>
    <t>(Кызыл-Жар) Махмуд-ата Аскар ата</t>
  </si>
  <si>
    <t>(Кызыл-Жар) Машрап Ата</t>
  </si>
  <si>
    <t>(Кызыл-Жар) Мухаммад Аскар ата</t>
  </si>
  <si>
    <t>(Кызыл-Жар) Рахмет</t>
  </si>
  <si>
    <t>(Кызыл-Жар) Холид</t>
  </si>
  <si>
    <t>(Кызыл-Жар) Чынар мечит</t>
  </si>
  <si>
    <t>(Ленин) Аммор</t>
  </si>
  <si>
    <t>(Ленин) Давуд</t>
  </si>
  <si>
    <t>(Ленин) Ислам Абад</t>
  </si>
  <si>
    <t>(Ленин) Номанжан Ажы</t>
  </si>
  <si>
    <t>(Ленин) Сайдулло</t>
  </si>
  <si>
    <t>(Ленин) Санжар</t>
  </si>
  <si>
    <t>(Ленин) Солиха дукону</t>
  </si>
  <si>
    <t>(Ленина) Захриддин Ажы</t>
  </si>
  <si>
    <t>(Масадан) Азык-Тулук</t>
  </si>
  <si>
    <t>(Масадан) Жасмина (4 кочо)</t>
  </si>
  <si>
    <t>(Масадан) Манго 21801197600695</t>
  </si>
  <si>
    <t>(Масадан) Омад</t>
  </si>
  <si>
    <t>(Масадан) Тохира</t>
  </si>
  <si>
    <t>(Масадан) Холид</t>
  </si>
  <si>
    <t>(Серный) Абу Убайда</t>
  </si>
  <si>
    <t>(Сузак айыл окмот) Анвар</t>
  </si>
  <si>
    <t>(Сузак Бак) Анвар 3</t>
  </si>
  <si>
    <t>(Сузак Больница) Аббос</t>
  </si>
  <si>
    <t>(Сузак больница) Азизбек</t>
  </si>
  <si>
    <t>(Сузак больница) Аллохберди</t>
  </si>
  <si>
    <t>(Сузак больница) Анвар 2</t>
  </si>
  <si>
    <t>(Сузак Больница) Ачык Асман</t>
  </si>
  <si>
    <t>(Сузак больница) Береке</t>
  </si>
  <si>
    <t>(Сузак больница) Береке мини маркет</t>
  </si>
  <si>
    <t>(Сузак больница) Исмаил ата</t>
  </si>
  <si>
    <t>(Сузак больница) маг.ОПТОМ1</t>
  </si>
  <si>
    <t>(Сузак больница) Махамажан-ажы</t>
  </si>
  <si>
    <t>(Сузак Больница) Осие Магазин</t>
  </si>
  <si>
    <t>(Сузак дом ата) Абдукодыр</t>
  </si>
  <si>
    <t>(Сузак дом ата) Абдурахман ата</t>
  </si>
  <si>
    <t>(Сузак дом ата) Али (Открытый павилион)</t>
  </si>
  <si>
    <t>(Сузак дом ата) Атабек</t>
  </si>
  <si>
    <t>(Сузак дом ата) Бушро</t>
  </si>
  <si>
    <t>(Сузак дом ата) Гулшан</t>
  </si>
  <si>
    <t>(Сузак дом ата) Иброхим-Халилиллох</t>
  </si>
  <si>
    <t>(Сузак дом ата) Махаммажан</t>
  </si>
  <si>
    <t>(Сузак дом ата) Мухтар</t>
  </si>
  <si>
    <t>(Сузак дом ата) Осиё</t>
  </si>
  <si>
    <t>(Сузак дом ата) Феруза</t>
  </si>
  <si>
    <t>(Сузак жума базар)  Момо-жемиш</t>
  </si>
  <si>
    <t>(Сузак жума базар) Акрамжан Ажы</t>
  </si>
  <si>
    <t>(Сузак жума базар) Асмо</t>
  </si>
  <si>
    <t>(Сузак жума базар) Дасторкон</t>
  </si>
  <si>
    <t>(Сузак жума базар) Ильяз</t>
  </si>
  <si>
    <t>(Сузак жума базар) Тимур</t>
  </si>
  <si>
    <t>(Сузак жума базар) Умар</t>
  </si>
  <si>
    <t>(Сузак жума базар) Шарабиддин</t>
  </si>
  <si>
    <t>(Сузак камыш-башы) Садда</t>
  </si>
  <si>
    <t>(Сузак Круговой) Азыктар Жибек-Жолу</t>
  </si>
  <si>
    <t>(Сузак круговой) Асрор Маркет 2220698300583</t>
  </si>
  <si>
    <t>(Сузак Круговой) Ильяз</t>
  </si>
  <si>
    <t>(Сузак круговой) маг Цунами</t>
  </si>
  <si>
    <t>(Сузак Круговой) Муслим</t>
  </si>
  <si>
    <t>(Сузак Круговой) Мухамбет ажы (бонаква)</t>
  </si>
  <si>
    <t>(Сузак Круговой) Таштемир ата</t>
  </si>
  <si>
    <t>(Сузак Круговой) Умут</t>
  </si>
  <si>
    <t>(Сузак Круговой) Эркин</t>
  </si>
  <si>
    <t>(Сузак медресе) Хафиз</t>
  </si>
  <si>
    <t>(Сузак мост ) Мухаммед</t>
  </si>
  <si>
    <t>(Сузак мост) Азизбек Мост</t>
  </si>
  <si>
    <t>(Сузак мост) Айша</t>
  </si>
  <si>
    <t>(Сузак мост) Асыр</t>
  </si>
  <si>
    <t>(Сузак мост) Бенза заправка</t>
  </si>
  <si>
    <t>(Сузак мост) Маркет Лента</t>
  </si>
  <si>
    <t>(Сузак мост) Хабибулла ажы</t>
  </si>
  <si>
    <t>(Сузак роддом) Жасур</t>
  </si>
  <si>
    <t>(Сузак роддом) Имрон</t>
  </si>
  <si>
    <t>(Сузак роддом) Солиха</t>
  </si>
  <si>
    <t>(Сузак роддом) Тургунбай Ажы</t>
  </si>
  <si>
    <t>(Сузак РТС) Ризо</t>
  </si>
  <si>
    <t>(Сузак РТС) Шавкадбек</t>
  </si>
  <si>
    <t>(Сузак) Зайтун</t>
  </si>
  <si>
    <t>(Сузак) Элдар</t>
  </si>
  <si>
    <t>(Тотия) Абдурахман Ата</t>
  </si>
  <si>
    <t>(Тотия) Береке</t>
  </si>
  <si>
    <t>(Тотия) Тургунбай Ажы</t>
  </si>
  <si>
    <t>(Тотия) Халил Ата</t>
  </si>
  <si>
    <t>(Ч.Айтматов) Ансара кайрагач</t>
  </si>
  <si>
    <t>(Эркин Жийде) Батыр</t>
  </si>
  <si>
    <t>(Эркин Жийде) Розахун</t>
  </si>
  <si>
    <t>(Эркин Жийде) Шавкатбек</t>
  </si>
  <si>
    <t>(Эркин Жийде) Шакир-Ата</t>
  </si>
  <si>
    <t>Али КЖ Дукону</t>
  </si>
  <si>
    <t>(Ачы) Идаят</t>
  </si>
  <si>
    <t>(Ачы) Кулам Сабыр Ата</t>
  </si>
  <si>
    <t>(Багыш) Беш-Бала</t>
  </si>
  <si>
    <t>(Багыш) Ватсап</t>
  </si>
  <si>
    <t>(Багыш) Корзинка</t>
  </si>
  <si>
    <t>(Багыш) Кызыл-Туу</t>
  </si>
  <si>
    <t>(Багыш) Мадами Ата</t>
  </si>
  <si>
    <t>(Багыш) Малина</t>
  </si>
  <si>
    <t>(Багыш) Манас</t>
  </si>
  <si>
    <t>(Багыш) Мектеп</t>
  </si>
  <si>
    <t>(Багыш) Сумая</t>
  </si>
  <si>
    <t>(Багыш) Умарали</t>
  </si>
  <si>
    <t>(Багыш) Умут кичи маркет</t>
  </si>
  <si>
    <t>(Благовешинка) Ашым</t>
  </si>
  <si>
    <t>(Благовешинка) Улан Маркет</t>
  </si>
  <si>
    <t>(Благовещенка) Азык-Туулук Расул</t>
  </si>
  <si>
    <t>(Благовещенка) Али</t>
  </si>
  <si>
    <t>(Благовещенка) Алмаз</t>
  </si>
  <si>
    <t>(Благовещенка) Амантур</t>
  </si>
  <si>
    <t>(Благовещенка) Базарбай-Ата</t>
  </si>
  <si>
    <t>(Благовещенка) Бай-Азык</t>
  </si>
  <si>
    <t>(Благовещенка) Бек-Али</t>
  </si>
  <si>
    <t>(Благовещенка) Береке Маркет</t>
  </si>
  <si>
    <t>(Благовещенка) Камчы Ата</t>
  </si>
  <si>
    <t>(Благовещенка) Келечек</t>
  </si>
  <si>
    <t>(Благовещенка) Мадина</t>
  </si>
  <si>
    <t>(Благовещенка) Мухаммадаали</t>
  </si>
  <si>
    <t>(Благовещенка) Сыргабай-Ата</t>
  </si>
  <si>
    <t>(Благовещенка) Таавалды Ата</t>
  </si>
  <si>
    <t>(Благовещенка) Тажибай ата</t>
  </si>
  <si>
    <t>(Благовещенка) Ташкенбай</t>
  </si>
  <si>
    <t>(Благовещенка) Туран</t>
  </si>
  <si>
    <t>(Бостон) Мухаммадали</t>
  </si>
  <si>
    <t>(Винсовхоз) Ала-Тоо</t>
  </si>
  <si>
    <t>(Винсовхоз) Береке</t>
  </si>
  <si>
    <t>(Винсовхоз) Винсовхоз (3-Одл)</t>
  </si>
  <si>
    <t>(Винсовхоз) Жыгач-Коргон</t>
  </si>
  <si>
    <t>(Винсовхоз) Мини-Маркет</t>
  </si>
  <si>
    <t>(Винсовхоз) Ширин</t>
  </si>
  <si>
    <t>(Винсовхоз) Эл-Азык</t>
  </si>
  <si>
    <t>(Гавриловка) Торо 10805198801253</t>
  </si>
  <si>
    <t>(Гавриловка) Эл-Учун 21807198500302</t>
  </si>
  <si>
    <t>(Жаны-Дыйкан) Альбина</t>
  </si>
  <si>
    <t>(Жаны-Дыйкан) Панарама</t>
  </si>
  <si>
    <t>(Жашасын) Альбина</t>
  </si>
  <si>
    <t>(Жашасын) Бегим</t>
  </si>
  <si>
    <t>(Жашасын) Жази</t>
  </si>
  <si>
    <t>(Жашасын) Мадина</t>
  </si>
  <si>
    <t>(Жашасын) Малика</t>
  </si>
  <si>
    <t>(Жашасын) Ырыскулбек</t>
  </si>
  <si>
    <t>(Жергетал) Баня Икрам ордо</t>
  </si>
  <si>
    <t>(Жергетал) Баяна</t>
  </si>
  <si>
    <t>(Жергетал) Дасторкон</t>
  </si>
  <si>
    <t>(Жергетал) Жерге-Тал МАРКЕТ</t>
  </si>
  <si>
    <t>(Жергетал) Кок-Арт Тез-Татым</t>
  </si>
  <si>
    <t>(Жергетал) мектеп Береке</t>
  </si>
  <si>
    <t>(Жергетал) Оомат</t>
  </si>
  <si>
    <t>(Жергетал) Софи Мари</t>
  </si>
  <si>
    <t>(Жергетал) Тажибай ата маркет</t>
  </si>
  <si>
    <t>(Жергетал) Чайкана Асылбек Ажы</t>
  </si>
  <si>
    <t>(Жон-Кунгой) Мадина</t>
  </si>
  <si>
    <t>(Жон-Кунгой) Нурбол</t>
  </si>
  <si>
    <t>(Калмак-Кырчын) ДБ Кичи Маркет</t>
  </si>
  <si>
    <t>(Калмак-Кырчын) Ислам мектеп</t>
  </si>
  <si>
    <t>(Калмак-Кырчын) Кемпир</t>
  </si>
  <si>
    <t>(Кара Чолок) Арууке на против Балтабай ата</t>
  </si>
  <si>
    <t>(Кара Чолок) Асман</t>
  </si>
  <si>
    <t>(Кара Чолок) Асылтор</t>
  </si>
  <si>
    <t>(Кара Чолок) Балтабай</t>
  </si>
  <si>
    <t>(Кара Чолок) Бир-Жер   маркет</t>
  </si>
  <si>
    <t>(Кара Чолок) Кара Чолок</t>
  </si>
  <si>
    <t>(Кара Чолок) Курманбек</t>
  </si>
  <si>
    <t>(Кара Чолок) НАН борбору</t>
  </si>
  <si>
    <t>(Кара Чолок) Нурмухаммед</t>
  </si>
  <si>
    <t>(Кара Чолок) Сезим</t>
  </si>
  <si>
    <t>(Кара Чолок) Ханбийке</t>
  </si>
  <si>
    <t>(Кара Чолок) Эргеш ата</t>
  </si>
  <si>
    <t>(Кара-Алма) Зейнеш-Апа</t>
  </si>
  <si>
    <t>(Кара-Алма) Кара-Алма Камок</t>
  </si>
  <si>
    <t>(Кара-Алма) Контейнер</t>
  </si>
  <si>
    <t>(Кара-Алма) Магазин</t>
  </si>
  <si>
    <t>(Кара-Алма) Ханбийке</t>
  </si>
  <si>
    <t>(Кара-Алма) Чоноз-Бий</t>
  </si>
  <si>
    <t>(Кок Жангак) Бекзат</t>
  </si>
  <si>
    <t>(Кок Жангак) Береке</t>
  </si>
  <si>
    <t>(Кок Жангак) Дилором</t>
  </si>
  <si>
    <t>(Кок Жангак) Келечек</t>
  </si>
  <si>
    <t>(Кок Жангак) Колмо</t>
  </si>
  <si>
    <t>(Кок Жангак) маркет Кок-Жангак</t>
  </si>
  <si>
    <t>(Кок Жангак) Мин Туркун</t>
  </si>
  <si>
    <t>(Кок-Жангак) Бай азык Черёмушка</t>
  </si>
  <si>
    <t>(Кок-Жангак) Бактыгул</t>
  </si>
  <si>
    <t>(Кок-Жангак) Жыпар Черёмушка</t>
  </si>
  <si>
    <t>(Кок-Жангак) Зууракан</t>
  </si>
  <si>
    <t>(Кок-Жангак) Нурболот Военный часть</t>
  </si>
  <si>
    <t>(Кок-Жангак) Оомат</t>
  </si>
  <si>
    <t>(Кок-Жангак) Санжар</t>
  </si>
  <si>
    <t>(Кок-Жангак) Спутник Военный часть</t>
  </si>
  <si>
    <t>(Кок-Жангак) Уланбек Черёмушка</t>
  </si>
  <si>
    <t>(Комсомол) Айжан Заправканын жаны</t>
  </si>
  <si>
    <t>(Комсомол) Алмаз</t>
  </si>
  <si>
    <t>(Комсомол) Анара</t>
  </si>
  <si>
    <t>(Комсомол) Кымбат</t>
  </si>
  <si>
    <t>(Комсомол) маркет Кок-Арт</t>
  </si>
  <si>
    <t>(Комсомол) Мурас Ордо</t>
  </si>
  <si>
    <t>(Комсомол) Элдос</t>
  </si>
  <si>
    <t>(Кулбайлуу) Ормош ата</t>
  </si>
  <si>
    <t>(Кызыл Сенир) Береке</t>
  </si>
  <si>
    <t>(Кызыл-Сенир) Даут</t>
  </si>
  <si>
    <t>(Кызыл-Сенир) Замир Платина</t>
  </si>
  <si>
    <t>(Кызыл-Сенир) Ратбек</t>
  </si>
  <si>
    <t>(Кызыл-Сенир) Салиха</t>
  </si>
  <si>
    <t>(Кызыл-Сенир) Тахмина</t>
  </si>
  <si>
    <t>(Кыргызстан) Арсен</t>
  </si>
  <si>
    <t>(Кыргызстан) Бекболот-Ата</t>
  </si>
  <si>
    <t>(Кыргызстан) Береке</t>
  </si>
  <si>
    <t>(Кыргызстан) Нур</t>
  </si>
  <si>
    <t>(Кыргызстан) Турсун-Ата</t>
  </si>
  <si>
    <t>(Октябрский) Ак-ниет Кок-Жангак Поворот</t>
  </si>
  <si>
    <t>(Октябрский) Береке 2</t>
  </si>
  <si>
    <t>(Октябрский) Зарина</t>
  </si>
  <si>
    <t>(Октябрский) Кок- Арт</t>
  </si>
  <si>
    <t>(Октябрский) Миргул</t>
  </si>
  <si>
    <t>(Октябрский) Чайхана Доскана</t>
  </si>
  <si>
    <t>(Октябрь) Сары булак поворот</t>
  </si>
  <si>
    <t>(Октябрь-1) Абдыжапар-Ата</t>
  </si>
  <si>
    <t>(Октябрь-1) Ак-Тилек</t>
  </si>
  <si>
    <t>(Октябрь-1) Асан-Усон</t>
  </si>
  <si>
    <t>(Октябрь-1) Бексултан</t>
  </si>
  <si>
    <t>(Октябрь-1) Береке</t>
  </si>
  <si>
    <t>(Октябрь-1) Дильмурат</t>
  </si>
  <si>
    <t>(Октябрь-1) Кавсар</t>
  </si>
  <si>
    <t>(Октябрь-1) Калыс эже</t>
  </si>
  <si>
    <t>(Октябрь-1) Кафе Тамга</t>
  </si>
  <si>
    <t>(Октябрь-1) Мин-туркун</t>
  </si>
  <si>
    <t>(Октябрь-1) Муктар Ата</t>
  </si>
  <si>
    <t>(Октябрь-1) Супермаркет Октябрь</t>
  </si>
  <si>
    <t>(Октябрь-1) Ырыс эже маг</t>
  </si>
  <si>
    <t>(Октябрь-1) Элиза</t>
  </si>
  <si>
    <t>(Орто Азия) Береке Маркет 21203198000077</t>
  </si>
  <si>
    <t>(Орто-Азия) Адинбай Ажы</t>
  </si>
  <si>
    <t>(Орто-Азия) Арген маг</t>
  </si>
  <si>
    <t>(Орто-Азия) Арзан+</t>
  </si>
  <si>
    <t>(Орто-Азия) Сабыржан Ата</t>
  </si>
  <si>
    <t>(Орто-Азия) Самира</t>
  </si>
  <si>
    <t>(ПТИЦЕФАБРИКА) Аймээрим</t>
  </si>
  <si>
    <t>(ПТИЦЕФАБРИКА) Ак-Маркет 11704197800440</t>
  </si>
  <si>
    <t>(ПТИЦЕФАБРИКА) Дооронбек-Ата</t>
  </si>
  <si>
    <t>(ПТИЦЕФАБРИКА) Нуркамил ата</t>
  </si>
  <si>
    <t>(ПТИЦЕФАБРИКА) Элмир</t>
  </si>
  <si>
    <t>(Сапаровка) Актилек</t>
  </si>
  <si>
    <t>(Саты) Элмир Маркет</t>
  </si>
  <si>
    <t>(Сафаровка) Гулжигит</t>
  </si>
  <si>
    <t>(Спасовка) Альбина</t>
  </si>
  <si>
    <t>(Спасовка) Амир</t>
  </si>
  <si>
    <t>(Спасовка) Байхан</t>
  </si>
  <si>
    <t>(Спасовка) Суйунбек</t>
  </si>
  <si>
    <t>(Спасовка) Толубай-Ата</t>
  </si>
  <si>
    <t>(Тайгараев) Абдыкапар-Ата</t>
  </si>
  <si>
    <t>(Тайгараев) Абдыкапар-Ата Чайхана</t>
  </si>
  <si>
    <t>(Тайгараев) Амина</t>
  </si>
  <si>
    <t>(Тайгараев) Балмуздак</t>
  </si>
  <si>
    <t>(Тайгараев) Нурай</t>
  </si>
  <si>
    <t>(Тайгараев) Оомат</t>
  </si>
  <si>
    <t>(Тайгараев) Ордо баня</t>
  </si>
  <si>
    <t>(Тайгараев) Ормон ата</t>
  </si>
  <si>
    <t>(Тайгараев) Улан-ата</t>
  </si>
  <si>
    <t>(Таран Базар) Адилет</t>
  </si>
  <si>
    <t>(Таран Базар) Азык-Тулук Поворот</t>
  </si>
  <si>
    <t>(Таран Базар) Кок-Арт</t>
  </si>
  <si>
    <t>(Таран Базар) Маркет</t>
  </si>
  <si>
    <t>(Таран Базар) Равшан</t>
  </si>
  <si>
    <t>(Таштак) Бостон Маг</t>
  </si>
  <si>
    <t>(Таштак) Дукон Таштак</t>
  </si>
  <si>
    <t>(Таштак) Исмаил-Ата</t>
  </si>
  <si>
    <t>(Таштак) Орто-Азия</t>
  </si>
  <si>
    <t>(Таштак) Саветбек</t>
  </si>
  <si>
    <t>(Таштак) Сатар Ата дукон</t>
  </si>
  <si>
    <t>(Таштак) Солиха Дукону</t>
  </si>
  <si>
    <t>(Таштак) Урмат</t>
  </si>
  <si>
    <t>(Уч-Хоз) Абдубаит-Ата</t>
  </si>
  <si>
    <t>(Уч-Хоз) Сагындык 22608197600770</t>
  </si>
  <si>
    <t>Саты форель 2 кафе</t>
  </si>
  <si>
    <t>Тагайбеков Адилет</t>
  </si>
  <si>
    <t>Чайкана "Кубаныч"</t>
  </si>
  <si>
    <t>(Аэропорт) Акман</t>
  </si>
  <si>
    <t>(Аэропорт) Алихан</t>
  </si>
  <si>
    <t>(Аэропорт) Кумушай</t>
  </si>
  <si>
    <t>(Бадалова) Захро туб.диспансер</t>
  </si>
  <si>
    <t>(Бадалова) Немаджан ажы туб.дис</t>
  </si>
  <si>
    <t>(Барпы перевал) Кичи маркет</t>
  </si>
  <si>
    <t>(Барпы Сейил)  Биби-Сора</t>
  </si>
  <si>
    <t>(Барпы трасса)  Даян</t>
  </si>
  <si>
    <t>(Барпы трасса)  Роддом</t>
  </si>
  <si>
    <t>(Барпы) Аида</t>
  </si>
  <si>
    <t>(Барпы) Айдана</t>
  </si>
  <si>
    <t>(Барпы) Акылай</t>
  </si>
  <si>
    <t>(Барпы) Асия</t>
  </si>
  <si>
    <t>(Барпы) Ата Кенч (Чайхана)</t>
  </si>
  <si>
    <t>(Барпы) Гавакал-Ата трасса</t>
  </si>
  <si>
    <t>(Барпы) Гаип-Ата</t>
  </si>
  <si>
    <t>(Барпы) Даткаыйм</t>
  </si>
  <si>
    <t>(Барпы) Жони Парк Чайхана</t>
  </si>
  <si>
    <t>(Барпы) Жылдыз</t>
  </si>
  <si>
    <t>(Барпы) Ислам маркет</t>
  </si>
  <si>
    <t>(Барпы) Истанбек-Бий</t>
  </si>
  <si>
    <t>(Барпы) Магазин Батма</t>
  </si>
  <si>
    <t>(Барпы) Мээримай маркет</t>
  </si>
  <si>
    <t>(Барпы) Надира перевал</t>
  </si>
  <si>
    <t>(Барпы) Насир Ажы</t>
  </si>
  <si>
    <t>(Барпы) Нурбол</t>
  </si>
  <si>
    <t>(Барпы) Осмон-Ата</t>
  </si>
  <si>
    <t>(Барпы) Пирмат маркети</t>
  </si>
  <si>
    <t>(Барпы) Продуктовый Рай (Чубак Ажы мечити) 1234197301096</t>
  </si>
  <si>
    <t>(Барпы) Садыр перевал</t>
  </si>
  <si>
    <t>(Барпы) Ташбек Перевал</t>
  </si>
  <si>
    <t>(Барпы) Тологон</t>
  </si>
  <si>
    <t>(Барпы) Уран поворот</t>
  </si>
  <si>
    <t>(Барпы) Ширинай маркет</t>
  </si>
  <si>
    <t>(Барпы) Эл-Азык маркет трасса</t>
  </si>
  <si>
    <t>(Барпы) Элхан Таймурас</t>
  </si>
  <si>
    <t>(Барпы) Эмир поворот</t>
  </si>
  <si>
    <t>(Барпы) Юсуф</t>
  </si>
  <si>
    <t>(Барпы-Сейил) Азиз</t>
  </si>
  <si>
    <t>(Барпы-Сейил) Алина Маркет</t>
  </si>
  <si>
    <t>(Барпы-Сейил) Барпы Маркет</t>
  </si>
  <si>
    <t>(Барпы-Сейил) Береке</t>
  </si>
  <si>
    <t>(Барпы-Сейил) Эркин тоо</t>
  </si>
  <si>
    <t>(Гор.больница) Ассорти</t>
  </si>
  <si>
    <t>(Гор.больница) Жапарали</t>
  </si>
  <si>
    <t>(Гор.больница) Имран</t>
  </si>
  <si>
    <t>(Гор.больница) Мээримай</t>
  </si>
  <si>
    <t>(Гор.больница) Умида</t>
  </si>
  <si>
    <t>(Гор.больница) Халяль 2</t>
  </si>
  <si>
    <t>(Гор.больница) Ынтымак</t>
  </si>
  <si>
    <t>(Гор.больница) Ырысбу</t>
  </si>
  <si>
    <t>(Гор.больница) Эркин-Ата</t>
  </si>
  <si>
    <t>(Дача) Акмаанай</t>
  </si>
  <si>
    <t>(Дача) Асия</t>
  </si>
  <si>
    <t>(Дача) Береке</t>
  </si>
  <si>
    <t>(Дача) Дастан</t>
  </si>
  <si>
    <t>(Дача) Дача Маркет</t>
  </si>
  <si>
    <t>(Дача) Кабыл-Ожи</t>
  </si>
  <si>
    <t>(Дача) Мин-Орук</t>
  </si>
  <si>
    <t>(Дача) Нагорный</t>
  </si>
  <si>
    <t>(Дача) Нурмухаммед</t>
  </si>
  <si>
    <t>(Дача) Пятерка</t>
  </si>
  <si>
    <t>(Дача) Рамазан</t>
  </si>
  <si>
    <t>(Дача) Рахат</t>
  </si>
  <si>
    <t>(Дача) Ырыс</t>
  </si>
  <si>
    <t>(Димитровка) Ассаламу Алейкум</t>
  </si>
  <si>
    <t>(Димитровка) Береке</t>
  </si>
  <si>
    <t>(Димитровка) Жалал-Абад</t>
  </si>
  <si>
    <t>(Димитровка) Машаллах</t>
  </si>
  <si>
    <t>(Ж,Бакиев) Келечек (Мэрия)</t>
  </si>
  <si>
    <t>(Ж.Бакиев) Азык-Тулук</t>
  </si>
  <si>
    <t>(Ж.Бакиев) Алымбек</t>
  </si>
  <si>
    <t>(Ж.Бакиев) Продуктовый рай</t>
  </si>
  <si>
    <t>(Ж.Бакиев) Эконом</t>
  </si>
  <si>
    <t>(Калинин) Азык-Тулук</t>
  </si>
  <si>
    <t>(Калинин) Сабира</t>
  </si>
  <si>
    <t>(Калинин) Элита</t>
  </si>
  <si>
    <t>(Комсомол) Динара</t>
  </si>
  <si>
    <t>(Комсомол) Захро</t>
  </si>
  <si>
    <t>(Комсомол) Имона</t>
  </si>
  <si>
    <t>(Комсомол) Капуста ИНН 13011196400279</t>
  </si>
  <si>
    <t>(Комсомол) НУР Азык-Туулук</t>
  </si>
  <si>
    <t>(Комсомол) Палван</t>
  </si>
  <si>
    <t>(Комсомол) Султан</t>
  </si>
  <si>
    <t>(Комсомол) Чайкана "Сатыбалды Ата"</t>
  </si>
  <si>
    <t>(Комсомол) Чолпон</t>
  </si>
  <si>
    <t>(Курманбек) Акниет Маркет 20511199600524</t>
  </si>
  <si>
    <t>(Курманбек) Жасмина 12707199201591</t>
  </si>
  <si>
    <t>(Курманбек) Индус.общ Сырга</t>
  </si>
  <si>
    <t>(Курманбек) Мадыш</t>
  </si>
  <si>
    <t>(Курманбек) Мая</t>
  </si>
  <si>
    <t>(Курманбек) Сырга №14</t>
  </si>
  <si>
    <t>(Курманбек) ЭКО маркет</t>
  </si>
  <si>
    <t>(Н,Айтматова) Ак-Абад (Центр)</t>
  </si>
  <si>
    <t>(Н.Айтматова) Алия (Темир жол Тоок базар)</t>
  </si>
  <si>
    <t>(Н.Айтматова) Метро+</t>
  </si>
  <si>
    <t>(Н.Айтматова) Мир продуктов</t>
  </si>
  <si>
    <t>(Н.Айтматова) Таттуу</t>
  </si>
  <si>
    <t>(Пахта) Балажан</t>
  </si>
  <si>
    <t>(Пахта) Гузар</t>
  </si>
  <si>
    <t>(Пахта) Дастанбек</t>
  </si>
  <si>
    <t>(Пахта) Ислам</t>
  </si>
  <si>
    <t>(Пахта) Лола</t>
  </si>
  <si>
    <t>(Пахта) Марям</t>
  </si>
  <si>
    <t>(Пахта) Мехмонали</t>
  </si>
  <si>
    <t>(Пахта) Мин туркун</t>
  </si>
  <si>
    <t>(Пахта) Нооруз</t>
  </si>
  <si>
    <t>(Пахта) Сабина</t>
  </si>
  <si>
    <t>(Пахта) Салих</t>
  </si>
  <si>
    <t>(Пахта) Усман</t>
  </si>
  <si>
    <t>(Пахта) Шабдалызар</t>
  </si>
  <si>
    <t>(Пушкин) Акниет Супермарке</t>
  </si>
  <si>
    <t>(Пушкин) Али</t>
  </si>
  <si>
    <t>(Пушкин) Бишкек</t>
  </si>
  <si>
    <t>(Пушкин) Пейиз-береке</t>
  </si>
  <si>
    <t>(Пушкин) Садовая</t>
  </si>
  <si>
    <t>(Пушкина) Дияра</t>
  </si>
  <si>
    <t>(Пушкина) Донор Улук</t>
  </si>
  <si>
    <t>(Т,Байзаков пр) Медсара-2</t>
  </si>
  <si>
    <t>(Т.Байзаков пр) Аслидин</t>
  </si>
  <si>
    <t>(Т.Байзаков пр) Исмаил</t>
  </si>
  <si>
    <t>(Т.Байзаков пр) Кадыржан</t>
  </si>
  <si>
    <t>(Т.Байзаков пр) Минералка</t>
  </si>
  <si>
    <t>(Т.Байзаков пр) Мухаммед ( ЖТР )</t>
  </si>
  <si>
    <t>(Т.Байзаков пр) Развлек центр Синий Трактор</t>
  </si>
  <si>
    <t>(Таш-Булак) 777</t>
  </si>
  <si>
    <t>(Таш-Булак) Абдували</t>
  </si>
  <si>
    <t>(Таш-Булак) Бахтияр</t>
  </si>
  <si>
    <t>(Таш-Булак) Билал</t>
  </si>
  <si>
    <t>(Таш-Булак) Гулнур</t>
  </si>
  <si>
    <t>(Таш-Булак) Давранбек</t>
  </si>
  <si>
    <t>(Таш-Булак) Келечек</t>
  </si>
  <si>
    <t>(Таш-Булак) Контейнер</t>
  </si>
  <si>
    <t>(Таш-Булак) Медина</t>
  </si>
  <si>
    <t>(Таш-Булак) Руслан</t>
  </si>
  <si>
    <t>(Таш-Булак) Тимур</t>
  </si>
  <si>
    <t>(Таш-Булак) Торт-Кочо</t>
  </si>
  <si>
    <t>(Токтогул кочосу) Куржун</t>
  </si>
  <si>
    <t>(Токтогул) Азирет жд вокзал</t>
  </si>
  <si>
    <t>(Токтогул) Азык-тулук</t>
  </si>
  <si>
    <t>(Токтогул) Айкол</t>
  </si>
  <si>
    <t>(Токтогул) Баласагын</t>
  </si>
  <si>
    <t>(Токтогул) Магнит</t>
  </si>
  <si>
    <t>(Токтогул) Махабат</t>
  </si>
  <si>
    <t>(Токтогул) Мир продуктов (Дача стоянка)</t>
  </si>
  <si>
    <t>(Токтогул) Самара</t>
  </si>
  <si>
    <t>(Токтогул) Санжар</t>
  </si>
  <si>
    <t>(Токтогул) Талантбек</t>
  </si>
  <si>
    <t>(ул.Курманбек Асман дом) Ширин Маркети</t>
  </si>
  <si>
    <t>(Улгу) Улукбек</t>
  </si>
  <si>
    <t>(Эркиндик) Долина</t>
  </si>
  <si>
    <t>(Эркиндик) Нилюфар</t>
  </si>
  <si>
    <t>(Эркиндик) Элдос</t>
  </si>
  <si>
    <t>Кайрат (Турк-Абад)</t>
  </si>
  <si>
    <t>(Благовешинка) Хусанбай-Ажы</t>
  </si>
  <si>
    <t>Район</t>
  </si>
  <si>
    <t>СУЗАК</t>
  </si>
  <si>
    <t>ИТОГО</t>
  </si>
  <si>
    <t>(Береке) Кут береке 1</t>
  </si>
  <si>
    <t xml:space="preserve"> (Береке) Дом</t>
  </si>
  <si>
    <t>(Автовакзал) Ала-Арча (7-Канал)</t>
  </si>
  <si>
    <t>(Автовокзал) Аделя сервис</t>
  </si>
  <si>
    <t>(Автовокзал) Аида</t>
  </si>
  <si>
    <t>(Автовокзал) Асема</t>
  </si>
  <si>
    <t>(Автовокзал) Бенза заправка</t>
  </si>
  <si>
    <t>(Автовокзал) Берекет</t>
  </si>
  <si>
    <t>(Автовокзал) Камок Роза</t>
  </si>
  <si>
    <t>(Автовокзал) Мадина</t>
  </si>
  <si>
    <t>(Айти базар) Пери эже</t>
  </si>
  <si>
    <t>(Байэл) Адал</t>
  </si>
  <si>
    <t>(Байэл) Аделя</t>
  </si>
  <si>
    <t>(Байэл) Али</t>
  </si>
  <si>
    <t>(Байэл) Арзу</t>
  </si>
  <si>
    <t>(Байэл) Байэл (будка)</t>
  </si>
  <si>
    <t>(Байэл) Байэл (будка) 2</t>
  </si>
  <si>
    <t>(Байэл) Жаныбек</t>
  </si>
  <si>
    <t>(Байэл) Кел-Кел</t>
  </si>
  <si>
    <t>(Байэл) Минимаркет</t>
  </si>
  <si>
    <t>(Байэл) Юсуф</t>
  </si>
  <si>
    <t>(Береке) Азиз</t>
  </si>
  <si>
    <t>(Береке) Азизбек дукону</t>
  </si>
  <si>
    <t>(Береке) Айгерим</t>
  </si>
  <si>
    <t>(Береке) Айдай</t>
  </si>
  <si>
    <t>(Береке) Айсу</t>
  </si>
  <si>
    <t>(Береке) Али 2</t>
  </si>
  <si>
    <t>(Береке) Алихан</t>
  </si>
  <si>
    <t>(Береке) Алмаз</t>
  </si>
  <si>
    <t>(Береке) Алтынбек</t>
  </si>
  <si>
    <t>(Береке) Арал 12</t>
  </si>
  <si>
    <t>(Береке) Ариэль 4</t>
  </si>
  <si>
    <t>(Береке) Арсен</t>
  </si>
  <si>
    <t>(Береке) Аруузат</t>
  </si>
  <si>
    <t>(Береке) Арууке</t>
  </si>
  <si>
    <t>(Береке) Асия</t>
  </si>
  <si>
    <t>(Береке) Бай-Азык</t>
  </si>
  <si>
    <t>(Береке) Бай-тимур</t>
  </si>
  <si>
    <t>(Береке) Барпы</t>
  </si>
  <si>
    <t>(Береке) Бека</t>
  </si>
  <si>
    <t>(Береке) Бека 2</t>
  </si>
  <si>
    <t>(Береке) Береке</t>
  </si>
  <si>
    <t>(Береке) Билал</t>
  </si>
  <si>
    <t>(Береке) Караван</t>
  </si>
  <si>
    <t>(Береке) Кара-Дарыя</t>
  </si>
  <si>
    <t>(Береке) Кара-Дарыя 2</t>
  </si>
  <si>
    <t>(Береке) Келечек 2</t>
  </si>
  <si>
    <t>(Береке) Кок-Жангак</t>
  </si>
  <si>
    <t>(Береке) Кут береке 2</t>
  </si>
  <si>
    <t>(Береке) Кыргызстан</t>
  </si>
  <si>
    <t>(Береке) Манас 04</t>
  </si>
  <si>
    <t>(Береке) Мариям</t>
  </si>
  <si>
    <t>(Береке) Маркай</t>
  </si>
  <si>
    <t>(Береке) Марлен</t>
  </si>
  <si>
    <t>(Береке) Медер</t>
  </si>
  <si>
    <t>(Береке) Нур 2</t>
  </si>
  <si>
    <t>(Береке) Нурсейит</t>
  </si>
  <si>
    <t>(Береке) Оомат</t>
  </si>
  <si>
    <t>(Береке) Салих</t>
  </si>
  <si>
    <t>(Береке) Самат</t>
  </si>
  <si>
    <t>(Береке) Сулейман</t>
  </si>
  <si>
    <t>(Береке) Сумая</t>
  </si>
  <si>
    <t>(Береке) Сумая 2</t>
  </si>
  <si>
    <t>(Береке) ТД</t>
  </si>
  <si>
    <t>(Береке) Тойбос</t>
  </si>
  <si>
    <t>(Береке) Улгу</t>
  </si>
  <si>
    <t>(Береке) Чынгыз</t>
  </si>
  <si>
    <t>(Береке) Эльдар</t>
  </si>
  <si>
    <t>(Береке) Эльдар маг</t>
  </si>
  <si>
    <t>(Береке) Эмир</t>
  </si>
  <si>
    <t>(Береке) Юсуф</t>
  </si>
  <si>
    <t>(Жаны Айти Кок-Арт) Чынара</t>
  </si>
  <si>
    <t>(Жени-Жок ) Апельсин</t>
  </si>
  <si>
    <t>(Жени-Жок) Абдыжапар</t>
  </si>
  <si>
    <t>(Жени-Жок) Азык-Тулук (индус.общ.)</t>
  </si>
  <si>
    <t>(Жени-Жок) Айбек</t>
  </si>
  <si>
    <t>(Жени-Жок) Ак-жол</t>
  </si>
  <si>
    <t>(Жени-Жок) Байгелди</t>
  </si>
  <si>
    <t>(Жени-Жок) Береке</t>
  </si>
  <si>
    <t>(Жени-Жок) Жумабай-Ата 2</t>
  </si>
  <si>
    <t>(Жени-Жок) Корзинка (Школа №9)</t>
  </si>
  <si>
    <t>(Жени-Жок) Магазин Карамель</t>
  </si>
  <si>
    <t>(Жени-Жок) Мариям</t>
  </si>
  <si>
    <t>(Жени-Жок) Маркет Береке</t>
  </si>
  <si>
    <t>(Жени-Жок) Маркет Лимон</t>
  </si>
  <si>
    <t>(Жени-Жок) Марсель</t>
  </si>
  <si>
    <t>(Жени-Жок) Мираж</t>
  </si>
  <si>
    <t>(Жени-Жок) Оомат 20701199100492</t>
  </si>
  <si>
    <t>(Жени-Жок) Саякбай ата</t>
  </si>
  <si>
    <t>(Жени-Жок) Тагай-бий</t>
  </si>
  <si>
    <t>(Жени-Жок) Элдик маг</t>
  </si>
  <si>
    <t>(Ивашина) Али Спутник</t>
  </si>
  <si>
    <t>(Ивашина) Береке (Гульнара)</t>
  </si>
  <si>
    <t>(Кок Арт) Балмуздак Магазини</t>
  </si>
  <si>
    <t>(Кок Арт) Мундуз Маркет</t>
  </si>
  <si>
    <t>(Кок-Арт) Абдыкаар-Ата</t>
  </si>
  <si>
    <t>(Кок-Арт) Айым-Арал</t>
  </si>
  <si>
    <t>(Кок-Арт) Ак-Жол</t>
  </si>
  <si>
    <t>(Кок-Арт) Ак-Тилек</t>
  </si>
  <si>
    <t>(Кок-Арт) Ала-Тоо</t>
  </si>
  <si>
    <t>(Кок-Арт) Анар</t>
  </si>
  <si>
    <t>(Кок-Арт) Береке</t>
  </si>
  <si>
    <t>(Кок-Арт) Береке Сузак Автобаза</t>
  </si>
  <si>
    <t>(Кок-Арт) Диана Маркет</t>
  </si>
  <si>
    <t>(Кок-Арт) Жаны дукон</t>
  </si>
  <si>
    <t>(Кок-Арт) Жасмин</t>
  </si>
  <si>
    <t>(Кок-Арт) Жыргал</t>
  </si>
  <si>
    <t>(Кок-Арт) Камбарали Ата (Военная часть)</t>
  </si>
  <si>
    <t>(Кок-Арт) Капуста 1 Маркет</t>
  </si>
  <si>
    <t>(Кок-Арт) Киви</t>
  </si>
  <si>
    <t>(Кок-Арт) Маг. Кок-Арт</t>
  </si>
  <si>
    <t>(Кок-Арт) Нур</t>
  </si>
  <si>
    <t>(Кок-Арт) Нур-Азык Мойка</t>
  </si>
  <si>
    <t>(Кок-Арт) Нурэл</t>
  </si>
  <si>
    <t>(Кок-Арт) Оомат</t>
  </si>
  <si>
    <t>(Кок-Арт) Пион</t>
  </si>
  <si>
    <t>(Кок-Арт) Сырга</t>
  </si>
  <si>
    <t>(Кок-Арт) Эл Азык</t>
  </si>
  <si>
    <t>(Кок-Арт) Эл куту</t>
  </si>
  <si>
    <t>(М.Ботобаев) Мамытбек-Ата</t>
  </si>
  <si>
    <t>(Манас Пр) Ак Ниет</t>
  </si>
  <si>
    <t>(Манас Пр) Бектур</t>
  </si>
  <si>
    <t>(Манас Пр) Данек дукону</t>
  </si>
  <si>
    <t>(Манас Пр) Карагат</t>
  </si>
  <si>
    <t>(Манас Пр) Магнат</t>
  </si>
  <si>
    <t>(Манас Пр) Мин туркун</t>
  </si>
  <si>
    <t>(Манас Пр) Мин-Туркун 2</t>
  </si>
  <si>
    <t>(Манас Пр) Мир маркет 21607199701284</t>
  </si>
  <si>
    <t>(Манас Пр) Муслим</t>
  </si>
  <si>
    <t>(Манас Пр) Омас</t>
  </si>
  <si>
    <t>(Манас Пр) Паприка</t>
  </si>
  <si>
    <t>(Манас Пр) Салам маг</t>
  </si>
  <si>
    <t>(Манас Пр) Тан-Сыры</t>
  </si>
  <si>
    <t>(Манас) Ак Ниет Супер-м (АТФ)</t>
  </si>
  <si>
    <t>(Манас) Бай-Азык  АТФ</t>
  </si>
  <si>
    <t>(Орие-р Карагат) Лайм</t>
  </si>
  <si>
    <t>(Проспект Манас) Мама Люба дукону</t>
  </si>
  <si>
    <t>(Р.Азимова) Асман Дукону</t>
  </si>
  <si>
    <t>(Р.Азимова) Народный (Алихан)</t>
  </si>
  <si>
    <t>(Спутник Багери) Магазин Черри</t>
  </si>
  <si>
    <t>(Тарсус) КУТ</t>
  </si>
  <si>
    <t>Абдыганы уулу Ганымурат</t>
  </si>
  <si>
    <t>Аширали уулу Азиз Запад</t>
  </si>
  <si>
    <t>ЗАПАД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</si>
</sst>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1"/>
  <sheetViews>
    <sheetView tabSelected="1" zoomScaleNormal="100" workbookViewId="0"/>
  </sheetViews>
  <sheetFormatPr defaultRowHeight="15.75"/>
  <cols>
    <col min="1" max="1" width="6.7109375" style="7" customWidth="1"/>
    <col min="2" max="2" width="45.7109375" style="7" customWidth="1"/>
    <col min="3" max="3" width="11.42578125" style="7" customWidth="1"/>
    <col min="4" max="4" width="9.140625" style="7"/>
    <col min="5" max="5" width="4.7109375" style="7" customWidth="1"/>
    <col min="6" max="6" width="41.140625" style="7" customWidth="1"/>
    <col min="7" max="7" width="11.42578125" style="7" customWidth="1"/>
    <col min="8" max="8" width="9.140625" style="7"/>
    <col min="9" max="9" width="4.7109375" style="7" customWidth="1"/>
    <col min="10" max="10" width="41.140625" style="7" customWidth="1"/>
    <col min="11" max="11" width="11.42578125" style="7" customWidth="1"/>
    <col min="12" max="12" width="9.140625" style="7"/>
    <col min="13" max="13" width="4.7109375" style="7" customWidth="1"/>
    <col min="14" max="14" width="41.140625" style="7" customWidth="1"/>
    <col min="15" max="15" width="11.42578125" style="7" customWidth="1"/>
    <col min="16" max="16" width="9.140625" style="7"/>
    <col min="17" max="17" width="7.85546875" style="7" customWidth="1"/>
    <col min="18" max="18" width="45.7109375" style="7" customWidth="1"/>
    <col min="19" max="19" width="11.7109375" style="7" customWidth="1"/>
    <col min="20" max="16384" width="9.140625" style="7"/>
  </cols>
  <sheetData>
    <row r="1" spans="1:33" ht="16.5" thickBot="1"/>
    <row r="2" spans="1:33" ht="16.5" thickBot="1">
      <c r="A2" s="21" t="s">
        <v>4</v>
      </c>
      <c r="B2" s="21"/>
      <c r="C2" s="21"/>
      <c r="E2" s="22" t="s">
        <v>13</v>
      </c>
      <c r="F2" s="23"/>
      <c r="G2" s="24"/>
      <c r="I2" s="21" t="s">
        <v>9</v>
      </c>
      <c r="J2" s="21"/>
      <c r="K2" s="21"/>
      <c r="M2" s="21" t="s">
        <v>10</v>
      </c>
      <c r="N2" s="21"/>
      <c r="O2" s="21"/>
      <c r="Q2" s="21" t="s">
        <v>831</v>
      </c>
      <c r="R2" s="21"/>
      <c r="S2" s="21"/>
      <c r="AC2" s="11" t="s">
        <v>685</v>
      </c>
      <c r="AD2" s="11" t="s">
        <v>14</v>
      </c>
      <c r="AE2" s="11" t="s">
        <v>11</v>
      </c>
      <c r="AF2" s="11" t="s">
        <v>46</v>
      </c>
      <c r="AG2" s="11" t="s">
        <v>12</v>
      </c>
    </row>
    <row r="3" spans="1:33" ht="16.5" thickBot="1">
      <c r="A3" s="5" t="s">
        <v>0</v>
      </c>
      <c r="B3" s="2" t="s">
        <v>1</v>
      </c>
      <c r="C3" s="6" t="s">
        <v>2</v>
      </c>
      <c r="E3" s="9" t="s">
        <v>0</v>
      </c>
      <c r="F3" s="2" t="s">
        <v>1</v>
      </c>
      <c r="G3" s="9" t="s">
        <v>2</v>
      </c>
      <c r="I3" s="9" t="s">
        <v>0</v>
      </c>
      <c r="J3" s="2" t="s">
        <v>1</v>
      </c>
      <c r="K3" s="9" t="s">
        <v>2</v>
      </c>
      <c r="M3" s="9" t="s">
        <v>0</v>
      </c>
      <c r="N3" s="2" t="s">
        <v>1</v>
      </c>
      <c r="O3" s="9" t="s">
        <v>2</v>
      </c>
      <c r="Q3" s="10" t="s">
        <v>0</v>
      </c>
      <c r="R3" s="2" t="s">
        <v>1</v>
      </c>
      <c r="S3" s="10" t="s">
        <v>2</v>
      </c>
      <c r="AC3" s="13" t="s">
        <v>4</v>
      </c>
      <c r="AD3" s="12">
        <f>COUNTIF(C2:C149,"A")</f>
        <v>0</v>
      </c>
      <c r="AE3" s="12">
        <f>COUNTIF(C3:C150,"B")</f>
        <v>26</v>
      </c>
      <c r="AF3" s="12">
        <f>COUNTIF(C3:C150,"C")</f>
        <v>53</v>
      </c>
      <c r="AG3" s="12">
        <f>COUNTIF(C3:C150,"D")</f>
        <v>65</v>
      </c>
    </row>
    <row r="4" spans="1:33" ht="16.5" thickBot="1">
      <c r="A4" s="3">
        <v>1</v>
      </c>
      <c r="B4" s="1" t="s">
        <v>47</v>
      </c>
      <c r="C4" s="8" t="s">
        <v>46</v>
      </c>
      <c r="E4" s="3">
        <v>1</v>
      </c>
      <c r="F4" s="1" t="s">
        <v>162</v>
      </c>
      <c r="G4" s="3" t="s">
        <v>46</v>
      </c>
      <c r="I4" s="3">
        <v>1</v>
      </c>
      <c r="J4" s="1" t="s">
        <v>345</v>
      </c>
      <c r="K4" s="3" t="s">
        <v>12</v>
      </c>
      <c r="M4" s="3">
        <v>1</v>
      </c>
      <c r="N4" s="1" t="s">
        <v>530</v>
      </c>
      <c r="O4" s="3" t="s">
        <v>46</v>
      </c>
      <c r="Q4" s="3">
        <v>1</v>
      </c>
      <c r="R4" s="1" t="s">
        <v>688</v>
      </c>
      <c r="S4" s="3" t="s">
        <v>12</v>
      </c>
      <c r="AC4" s="13" t="s">
        <v>686</v>
      </c>
      <c r="AD4" s="12">
        <v>0</v>
      </c>
      <c r="AE4" s="12">
        <v>31</v>
      </c>
      <c r="AF4" s="12">
        <f>COUNTIF(G3:G188,"C")</f>
        <v>61</v>
      </c>
      <c r="AG4" s="12">
        <f>COUNTIF(G3:G188,"D")</f>
        <v>94</v>
      </c>
    </row>
    <row r="5" spans="1:33" ht="16.5" thickBot="1">
      <c r="A5" s="3">
        <v>2</v>
      </c>
      <c r="B5" s="1" t="s">
        <v>48</v>
      </c>
      <c r="C5" s="8" t="s">
        <v>11</v>
      </c>
      <c r="E5" s="3">
        <v>2</v>
      </c>
      <c r="F5" s="1" t="s">
        <v>163</v>
      </c>
      <c r="G5" s="3" t="s">
        <v>12</v>
      </c>
      <c r="I5" s="3">
        <v>2</v>
      </c>
      <c r="J5" s="1" t="s">
        <v>346</v>
      </c>
      <c r="K5" s="3" t="s">
        <v>12</v>
      </c>
      <c r="M5" s="3">
        <v>2</v>
      </c>
      <c r="N5" s="1" t="s">
        <v>531</v>
      </c>
      <c r="O5" s="3" t="s">
        <v>46</v>
      </c>
      <c r="Q5" s="3">
        <v>2</v>
      </c>
      <c r="R5" s="1" t="s">
        <v>689</v>
      </c>
      <c r="S5" s="3" t="s">
        <v>12</v>
      </c>
      <c r="AC5" s="13" t="s">
        <v>9</v>
      </c>
      <c r="AD5" s="12">
        <f>COUNTIF(K3:K191,"A")</f>
        <v>0</v>
      </c>
      <c r="AE5" s="12">
        <f>COUNTIF(K3:K191,"B")</f>
        <v>26</v>
      </c>
      <c r="AF5" s="12">
        <f>COUNTIF(K3:K191,"C")</f>
        <v>87</v>
      </c>
      <c r="AG5" s="12">
        <f>COUNTIF(K3:K191,"D")</f>
        <v>75</v>
      </c>
    </row>
    <row r="6" spans="1:33" ht="30.75" thickBot="1">
      <c r="A6" s="3">
        <v>3</v>
      </c>
      <c r="B6" s="1" t="s">
        <v>49</v>
      </c>
      <c r="C6" s="8" t="s">
        <v>11</v>
      </c>
      <c r="E6" s="3">
        <v>3</v>
      </c>
      <c r="F6" s="1" t="s">
        <v>164</v>
      </c>
      <c r="G6" s="3" t="s">
        <v>12</v>
      </c>
      <c r="I6" s="3">
        <v>3</v>
      </c>
      <c r="J6" s="1" t="s">
        <v>347</v>
      </c>
      <c r="K6" s="3" t="s">
        <v>12</v>
      </c>
      <c r="M6" s="3">
        <v>3</v>
      </c>
      <c r="N6" s="1" t="s">
        <v>532</v>
      </c>
      <c r="O6" s="3" t="s">
        <v>46</v>
      </c>
      <c r="Q6" s="3">
        <v>3</v>
      </c>
      <c r="R6" s="1" t="s">
        <v>690</v>
      </c>
      <c r="S6" s="3" t="s">
        <v>12</v>
      </c>
      <c r="AC6" s="13" t="s">
        <v>10</v>
      </c>
      <c r="AD6" s="12">
        <f>COUNTIF(O3:O162,"A")</f>
        <v>0</v>
      </c>
      <c r="AE6" s="12">
        <f>COUNTIF(O3:O162,"B")</f>
        <v>9</v>
      </c>
      <c r="AF6" s="12">
        <f>COUNTIF(O3:O162,"C")</f>
        <v>78</v>
      </c>
      <c r="AG6" s="12">
        <f>COUNTIF(O13:O162,"D")</f>
        <v>61</v>
      </c>
    </row>
    <row r="7" spans="1:33" ht="16.5" thickBot="1">
      <c r="A7" s="3">
        <v>4</v>
      </c>
      <c r="B7" s="1" t="s">
        <v>50</v>
      </c>
      <c r="C7" s="8" t="s">
        <v>11</v>
      </c>
      <c r="E7" s="3">
        <v>4</v>
      </c>
      <c r="F7" s="1" t="s">
        <v>165</v>
      </c>
      <c r="G7" s="3" t="s">
        <v>11</v>
      </c>
      <c r="I7" s="3">
        <v>4</v>
      </c>
      <c r="J7" s="1" t="s">
        <v>348</v>
      </c>
      <c r="K7" s="3" t="s">
        <v>12</v>
      </c>
      <c r="M7" s="3">
        <v>4</v>
      </c>
      <c r="N7" s="1"/>
      <c r="O7" s="3"/>
      <c r="Q7" s="3">
        <v>4</v>
      </c>
      <c r="R7" s="1" t="s">
        <v>691</v>
      </c>
      <c r="S7" s="3" t="s">
        <v>12</v>
      </c>
      <c r="AC7" s="13" t="s">
        <v>831</v>
      </c>
      <c r="AD7" s="12">
        <f>COUNTIF(S3:S147,"A")</f>
        <v>0</v>
      </c>
      <c r="AE7" s="12">
        <f>COUNTIF(S3:S147,"B")</f>
        <v>16</v>
      </c>
      <c r="AF7" s="12">
        <f>COUNTIF(S3:S147,"C")</f>
        <v>42</v>
      </c>
      <c r="AG7" s="12">
        <f>COUNTIF(S3:S147,"D")</f>
        <v>79</v>
      </c>
    </row>
    <row r="8" spans="1:33" ht="16.5" thickBot="1">
      <c r="A8" s="3">
        <v>5</v>
      </c>
      <c r="B8" s="1" t="s">
        <v>51</v>
      </c>
      <c r="C8" s="8" t="s">
        <v>11</v>
      </c>
      <c r="E8" s="3">
        <v>5</v>
      </c>
      <c r="F8" s="1" t="s">
        <v>166</v>
      </c>
      <c r="G8" s="3" t="s">
        <v>12</v>
      </c>
      <c r="I8" s="3">
        <v>5</v>
      </c>
      <c r="J8" s="1" t="s">
        <v>349</v>
      </c>
      <c r="K8" s="3" t="s">
        <v>11</v>
      </c>
      <c r="M8" s="3">
        <v>5</v>
      </c>
      <c r="N8" s="1" t="s">
        <v>533</v>
      </c>
      <c r="O8" s="3" t="s">
        <v>12</v>
      </c>
      <c r="Q8" s="3">
        <v>5</v>
      </c>
      <c r="R8" s="1" t="s">
        <v>692</v>
      </c>
      <c r="S8" s="3" t="s">
        <v>46</v>
      </c>
    </row>
    <row r="9" spans="1:33" ht="16.5" thickBot="1">
      <c r="A9" s="3">
        <v>6</v>
      </c>
      <c r="B9" s="1" t="s">
        <v>52</v>
      </c>
      <c r="C9" s="8" t="s">
        <v>11</v>
      </c>
      <c r="E9" s="3">
        <v>6</v>
      </c>
      <c r="F9" s="1" t="s">
        <v>167</v>
      </c>
      <c r="G9" s="3"/>
      <c r="I9" s="3">
        <v>6</v>
      </c>
      <c r="J9" s="1" t="s">
        <v>350</v>
      </c>
      <c r="K9" s="3" t="s">
        <v>46</v>
      </c>
      <c r="M9" s="3">
        <v>6</v>
      </c>
      <c r="N9" s="1" t="s">
        <v>534</v>
      </c>
      <c r="O9" s="3" t="s">
        <v>12</v>
      </c>
      <c r="Q9" s="3">
        <v>6</v>
      </c>
      <c r="R9" s="1" t="s">
        <v>693</v>
      </c>
      <c r="S9" s="3" t="s">
        <v>46</v>
      </c>
      <c r="AC9" s="13" t="s">
        <v>687</v>
      </c>
      <c r="AD9" s="12">
        <f>SUM(AD3:AD6)</f>
        <v>0</v>
      </c>
      <c r="AE9" s="12">
        <f>SUM(AE3:AE6)</f>
        <v>92</v>
      </c>
      <c r="AF9" s="12">
        <f>SUM(AF3:AF6)</f>
        <v>279</v>
      </c>
      <c r="AG9" s="12">
        <f>SUM(AG3:AG6)</f>
        <v>295</v>
      </c>
    </row>
    <row r="10" spans="1:33">
      <c r="A10" s="3">
        <v>7</v>
      </c>
      <c r="B10" s="1" t="s">
        <v>53</v>
      </c>
      <c r="C10" s="8" t="s">
        <v>11</v>
      </c>
      <c r="E10" s="3">
        <v>7</v>
      </c>
      <c r="F10" s="1" t="s">
        <v>168</v>
      </c>
      <c r="G10" s="3" t="s">
        <v>46</v>
      </c>
      <c r="I10" s="3">
        <v>7</v>
      </c>
      <c r="J10" s="1" t="s">
        <v>351</v>
      </c>
      <c r="K10" s="3" t="s">
        <v>12</v>
      </c>
      <c r="M10" s="3">
        <v>7</v>
      </c>
      <c r="N10" s="1" t="s">
        <v>535</v>
      </c>
      <c r="O10" s="3" t="s">
        <v>12</v>
      </c>
      <c r="Q10" s="3">
        <v>7</v>
      </c>
      <c r="R10" s="1" t="s">
        <v>694</v>
      </c>
      <c r="S10" s="3" t="s">
        <v>12</v>
      </c>
    </row>
    <row r="11" spans="1:33">
      <c r="A11" s="3">
        <v>8</v>
      </c>
      <c r="B11" s="1" t="s">
        <v>54</v>
      </c>
      <c r="C11" s="8" t="s">
        <v>11</v>
      </c>
      <c r="E11" s="3">
        <v>8</v>
      </c>
      <c r="F11" s="1" t="s">
        <v>169</v>
      </c>
      <c r="G11" s="3" t="s">
        <v>46</v>
      </c>
      <c r="I11" s="3">
        <v>8</v>
      </c>
      <c r="J11" s="1" t="s">
        <v>352</v>
      </c>
      <c r="K11" s="3" t="s">
        <v>12</v>
      </c>
      <c r="M11" s="3">
        <v>8</v>
      </c>
      <c r="N11" s="1" t="s">
        <v>536</v>
      </c>
      <c r="O11" s="3" t="s">
        <v>46</v>
      </c>
      <c r="Q11" s="3">
        <v>8</v>
      </c>
      <c r="R11" s="1" t="s">
        <v>695</v>
      </c>
      <c r="S11" s="3" t="s">
        <v>46</v>
      </c>
    </row>
    <row r="12" spans="1:33">
      <c r="A12" s="3">
        <v>9</v>
      </c>
      <c r="B12" s="1" t="s">
        <v>55</v>
      </c>
      <c r="C12" s="8" t="s">
        <v>11</v>
      </c>
      <c r="E12" s="3">
        <v>9</v>
      </c>
      <c r="F12" s="1" t="s">
        <v>170</v>
      </c>
      <c r="G12" s="3"/>
      <c r="I12" s="3">
        <v>9</v>
      </c>
      <c r="J12" s="1" t="s">
        <v>353</v>
      </c>
      <c r="K12" s="3" t="s">
        <v>12</v>
      </c>
      <c r="M12" s="3">
        <v>9</v>
      </c>
      <c r="N12" s="1" t="s">
        <v>537</v>
      </c>
      <c r="O12" s="3" t="s">
        <v>12</v>
      </c>
      <c r="Q12" s="3">
        <v>9</v>
      </c>
      <c r="R12" s="1" t="s">
        <v>696</v>
      </c>
      <c r="S12" s="3" t="s">
        <v>12</v>
      </c>
    </row>
    <row r="13" spans="1:33">
      <c r="A13" s="3">
        <v>10</v>
      </c>
      <c r="B13" s="1" t="s">
        <v>56</v>
      </c>
      <c r="C13" s="8" t="s">
        <v>46</v>
      </c>
      <c r="E13" s="3">
        <v>10</v>
      </c>
      <c r="F13" s="1" t="s">
        <v>171</v>
      </c>
      <c r="G13" s="3" t="s">
        <v>46</v>
      </c>
      <c r="I13" s="3">
        <v>10</v>
      </c>
      <c r="J13" s="1" t="s">
        <v>354</v>
      </c>
      <c r="K13" s="3" t="s">
        <v>12</v>
      </c>
      <c r="M13" s="3">
        <v>10</v>
      </c>
      <c r="N13" s="1" t="s">
        <v>538</v>
      </c>
      <c r="O13" s="3" t="s">
        <v>46</v>
      </c>
      <c r="Q13" s="3">
        <v>10</v>
      </c>
      <c r="R13" s="1" t="s">
        <v>697</v>
      </c>
      <c r="S13" s="3" t="s">
        <v>12</v>
      </c>
    </row>
    <row r="14" spans="1:33">
      <c r="A14" s="3">
        <v>11</v>
      </c>
      <c r="B14" s="1" t="s">
        <v>57</v>
      </c>
      <c r="C14" s="8" t="s">
        <v>11</v>
      </c>
      <c r="E14" s="3">
        <v>11</v>
      </c>
      <c r="F14" s="1" t="s">
        <v>172</v>
      </c>
      <c r="G14" s="3" t="s">
        <v>12</v>
      </c>
      <c r="I14" s="3">
        <v>11</v>
      </c>
      <c r="J14" s="1" t="s">
        <v>355</v>
      </c>
      <c r="K14" s="3" t="s">
        <v>46</v>
      </c>
      <c r="M14" s="3">
        <v>11</v>
      </c>
      <c r="N14" s="1" t="s">
        <v>539</v>
      </c>
      <c r="O14" s="3" t="s">
        <v>46</v>
      </c>
      <c r="Q14" s="3">
        <v>11</v>
      </c>
      <c r="R14" s="1" t="s">
        <v>698</v>
      </c>
      <c r="S14" s="3" t="s">
        <v>12</v>
      </c>
    </row>
    <row r="15" spans="1:33">
      <c r="A15" s="3">
        <v>12</v>
      </c>
      <c r="B15" s="1" t="s">
        <v>58</v>
      </c>
      <c r="C15" s="8" t="s">
        <v>11</v>
      </c>
      <c r="E15" s="3">
        <v>12</v>
      </c>
      <c r="F15" s="1" t="s">
        <v>173</v>
      </c>
      <c r="G15" s="3" t="s">
        <v>46</v>
      </c>
      <c r="I15" s="3">
        <v>12</v>
      </c>
      <c r="J15" s="1" t="s">
        <v>356</v>
      </c>
      <c r="K15" s="3" t="s">
        <v>12</v>
      </c>
      <c r="M15" s="3">
        <v>12</v>
      </c>
      <c r="N15" s="1" t="s">
        <v>540</v>
      </c>
      <c r="O15" s="3" t="s">
        <v>12</v>
      </c>
      <c r="Q15" s="3">
        <v>12</v>
      </c>
      <c r="R15" s="1" t="s">
        <v>699</v>
      </c>
      <c r="S15" s="3" t="s">
        <v>46</v>
      </c>
    </row>
    <row r="16" spans="1:33">
      <c r="A16" s="3">
        <v>13</v>
      </c>
      <c r="B16" s="1" t="s">
        <v>59</v>
      </c>
      <c r="C16" s="8" t="s">
        <v>46</v>
      </c>
      <c r="E16" s="3">
        <v>13</v>
      </c>
      <c r="F16" s="1" t="s">
        <v>174</v>
      </c>
      <c r="G16" s="3" t="s">
        <v>12</v>
      </c>
      <c r="I16" s="3">
        <v>13</v>
      </c>
      <c r="J16" s="1" t="s">
        <v>357</v>
      </c>
      <c r="K16" s="3" t="s">
        <v>11</v>
      </c>
      <c r="M16" s="3">
        <v>13</v>
      </c>
      <c r="N16" s="1"/>
      <c r="O16" s="3"/>
      <c r="Q16" s="3">
        <v>13</v>
      </c>
      <c r="R16" s="1" t="s">
        <v>700</v>
      </c>
      <c r="S16" s="3" t="s">
        <v>46</v>
      </c>
    </row>
    <row r="17" spans="1:19">
      <c r="A17" s="3">
        <v>14</v>
      </c>
      <c r="B17" s="1" t="s">
        <v>60</v>
      </c>
      <c r="C17" s="8" t="s">
        <v>11</v>
      </c>
      <c r="E17" s="3">
        <v>14</v>
      </c>
      <c r="F17" s="1" t="s">
        <v>175</v>
      </c>
      <c r="G17" s="3" t="s">
        <v>11</v>
      </c>
      <c r="I17" s="3">
        <v>14</v>
      </c>
      <c r="J17" s="1" t="s">
        <v>358</v>
      </c>
      <c r="K17" s="3" t="s">
        <v>11</v>
      </c>
      <c r="M17" s="3">
        <v>14</v>
      </c>
      <c r="N17" s="1" t="s">
        <v>541</v>
      </c>
      <c r="O17" s="3" t="s">
        <v>12</v>
      </c>
      <c r="Q17" s="3">
        <v>14</v>
      </c>
      <c r="R17" s="1" t="s">
        <v>701</v>
      </c>
      <c r="S17" s="3" t="s">
        <v>46</v>
      </c>
    </row>
    <row r="18" spans="1:19">
      <c r="A18" s="3">
        <v>15</v>
      </c>
      <c r="B18" s="1" t="s">
        <v>61</v>
      </c>
      <c r="C18" s="8" t="s">
        <v>11</v>
      </c>
      <c r="E18" s="3">
        <v>15</v>
      </c>
      <c r="F18" s="1" t="s">
        <v>176</v>
      </c>
      <c r="G18" s="3" t="s">
        <v>11</v>
      </c>
      <c r="I18" s="3">
        <v>15</v>
      </c>
      <c r="J18" s="1" t="s">
        <v>359</v>
      </c>
      <c r="K18" s="3" t="s">
        <v>11</v>
      </c>
      <c r="M18" s="3">
        <v>15</v>
      </c>
      <c r="N18" s="1" t="s">
        <v>542</v>
      </c>
      <c r="O18" s="3" t="s">
        <v>46</v>
      </c>
      <c r="Q18" s="3">
        <v>15</v>
      </c>
      <c r="R18" s="1" t="s">
        <v>702</v>
      </c>
      <c r="S18" s="3" t="s">
        <v>46</v>
      </c>
    </row>
    <row r="19" spans="1:19">
      <c r="A19" s="3">
        <v>16</v>
      </c>
      <c r="B19" s="1" t="s">
        <v>62</v>
      </c>
      <c r="C19" s="8" t="s">
        <v>46</v>
      </c>
      <c r="E19" s="3">
        <v>16</v>
      </c>
      <c r="F19" s="1" t="s">
        <v>177</v>
      </c>
      <c r="G19" s="3" t="s">
        <v>46</v>
      </c>
      <c r="I19" s="3">
        <v>16</v>
      </c>
      <c r="J19" s="1" t="s">
        <v>684</v>
      </c>
      <c r="K19" s="3" t="s">
        <v>46</v>
      </c>
      <c r="M19" s="3">
        <v>16</v>
      </c>
      <c r="N19" s="1" t="s">
        <v>543</v>
      </c>
      <c r="O19" s="3" t="s">
        <v>12</v>
      </c>
      <c r="Q19" s="3">
        <v>16</v>
      </c>
      <c r="R19" s="1" t="s">
        <v>703</v>
      </c>
      <c r="S19" s="3" t="s">
        <v>12</v>
      </c>
    </row>
    <row r="20" spans="1:19">
      <c r="A20" s="3">
        <v>17</v>
      </c>
      <c r="B20" s="1" t="s">
        <v>63</v>
      </c>
      <c r="C20" s="8" t="s">
        <v>11</v>
      </c>
      <c r="E20" s="3">
        <v>17</v>
      </c>
      <c r="F20" s="1" t="s">
        <v>178</v>
      </c>
      <c r="G20" s="3" t="s">
        <v>12</v>
      </c>
      <c r="I20" s="3">
        <v>17</v>
      </c>
      <c r="J20" s="1" t="s">
        <v>360</v>
      </c>
      <c r="K20" s="3" t="s">
        <v>11</v>
      </c>
      <c r="M20" s="3">
        <v>17</v>
      </c>
      <c r="N20" s="1" t="s">
        <v>544</v>
      </c>
      <c r="O20" s="3" t="s">
        <v>12</v>
      </c>
      <c r="Q20" s="3">
        <v>17</v>
      </c>
      <c r="R20" s="1" t="s">
        <v>704</v>
      </c>
      <c r="S20" s="3" t="s">
        <v>12</v>
      </c>
    </row>
    <row r="21" spans="1:19">
      <c r="A21" s="3">
        <v>18</v>
      </c>
      <c r="B21" s="1" t="s">
        <v>64</v>
      </c>
      <c r="C21" s="8" t="s">
        <v>11</v>
      </c>
      <c r="E21" s="3">
        <v>18</v>
      </c>
      <c r="F21" s="1" t="s">
        <v>179</v>
      </c>
      <c r="G21" s="3" t="s">
        <v>12</v>
      </c>
      <c r="I21" s="3">
        <v>18</v>
      </c>
      <c r="J21" s="1" t="s">
        <v>361</v>
      </c>
      <c r="K21" s="3" t="s">
        <v>12</v>
      </c>
      <c r="M21" s="3">
        <v>18</v>
      </c>
      <c r="N21" s="1" t="s">
        <v>545</v>
      </c>
      <c r="O21" s="3" t="s">
        <v>12</v>
      </c>
      <c r="Q21" s="3">
        <v>18</v>
      </c>
      <c r="R21" s="1" t="s">
        <v>705</v>
      </c>
      <c r="S21" s="3" t="s">
        <v>12</v>
      </c>
    </row>
    <row r="22" spans="1:19">
      <c r="A22" s="3">
        <v>19</v>
      </c>
      <c r="B22" s="1" t="s">
        <v>65</v>
      </c>
      <c r="C22" s="8" t="s">
        <v>11</v>
      </c>
      <c r="E22" s="3">
        <v>19</v>
      </c>
      <c r="F22" s="1" t="s">
        <v>180</v>
      </c>
      <c r="G22" s="3" t="s">
        <v>12</v>
      </c>
      <c r="I22" s="3">
        <v>19</v>
      </c>
      <c r="J22" s="1" t="s">
        <v>362</v>
      </c>
      <c r="K22" s="3" t="s">
        <v>46</v>
      </c>
      <c r="M22" s="3">
        <v>19</v>
      </c>
      <c r="N22" s="1"/>
      <c r="O22" s="3"/>
      <c r="Q22" s="3">
        <v>19</v>
      </c>
      <c r="R22" s="1" t="s">
        <v>706</v>
      </c>
      <c r="S22" s="3" t="s">
        <v>46</v>
      </c>
    </row>
    <row r="23" spans="1:19">
      <c r="A23" s="3">
        <v>20</v>
      </c>
      <c r="B23" s="1" t="s">
        <v>66</v>
      </c>
      <c r="C23" s="8" t="s">
        <v>46</v>
      </c>
      <c r="E23" s="3">
        <v>20</v>
      </c>
      <c r="F23" s="1" t="s">
        <v>181</v>
      </c>
      <c r="G23" s="3" t="s">
        <v>11</v>
      </c>
      <c r="I23" s="3">
        <v>20</v>
      </c>
      <c r="J23" s="1" t="s">
        <v>363</v>
      </c>
      <c r="K23" s="3" t="s">
        <v>11</v>
      </c>
      <c r="M23" s="3">
        <v>20</v>
      </c>
      <c r="N23" s="1" t="s">
        <v>546</v>
      </c>
      <c r="O23" s="3" t="s">
        <v>12</v>
      </c>
      <c r="Q23" s="3">
        <v>20</v>
      </c>
      <c r="R23" s="1" t="s">
        <v>707</v>
      </c>
      <c r="S23" s="3" t="s">
        <v>11</v>
      </c>
    </row>
    <row r="24" spans="1:19">
      <c r="A24" s="3">
        <v>21</v>
      </c>
      <c r="B24" s="1" t="s">
        <v>67</v>
      </c>
      <c r="C24" s="8" t="s">
        <v>11</v>
      </c>
      <c r="E24" s="3">
        <v>21</v>
      </c>
      <c r="F24" s="1" t="s">
        <v>182</v>
      </c>
      <c r="G24" s="3" t="s">
        <v>12</v>
      </c>
      <c r="I24" s="3">
        <v>21</v>
      </c>
      <c r="J24" s="1" t="s">
        <v>364</v>
      </c>
      <c r="K24" s="3" t="s">
        <v>46</v>
      </c>
      <c r="M24" s="3">
        <v>21</v>
      </c>
      <c r="N24" s="1" t="s">
        <v>547</v>
      </c>
      <c r="O24" s="3" t="s">
        <v>12</v>
      </c>
      <c r="Q24" s="3">
        <v>21</v>
      </c>
      <c r="R24" s="1"/>
      <c r="S24" s="3"/>
    </row>
    <row r="25" spans="1:19">
      <c r="A25" s="3">
        <v>22</v>
      </c>
      <c r="B25" s="1" t="s">
        <v>68</v>
      </c>
      <c r="C25" s="8" t="s">
        <v>11</v>
      </c>
      <c r="E25" s="3">
        <v>22</v>
      </c>
      <c r="F25" s="1" t="s">
        <v>183</v>
      </c>
      <c r="G25" s="3" t="s">
        <v>12</v>
      </c>
      <c r="I25" s="3">
        <v>22</v>
      </c>
      <c r="J25" s="1" t="s">
        <v>365</v>
      </c>
      <c r="K25" s="3" t="s">
        <v>11</v>
      </c>
      <c r="M25" s="3">
        <v>22</v>
      </c>
      <c r="N25" s="1" t="s">
        <v>548</v>
      </c>
      <c r="O25" s="3" t="s">
        <v>46</v>
      </c>
      <c r="Q25" s="3">
        <v>22</v>
      </c>
      <c r="R25" s="1" t="s">
        <v>708</v>
      </c>
      <c r="S25" s="3" t="s">
        <v>46</v>
      </c>
    </row>
    <row r="26" spans="1:19">
      <c r="A26" s="3">
        <v>23</v>
      </c>
      <c r="B26" s="1" t="s">
        <v>69</v>
      </c>
      <c r="C26" s="8" t="s">
        <v>46</v>
      </c>
      <c r="E26" s="3">
        <v>23</v>
      </c>
      <c r="F26" s="1" t="s">
        <v>184</v>
      </c>
      <c r="G26" s="3" t="s">
        <v>12</v>
      </c>
      <c r="I26" s="3">
        <v>23</v>
      </c>
      <c r="J26" s="1" t="s">
        <v>366</v>
      </c>
      <c r="K26" s="3" t="s">
        <v>12</v>
      </c>
      <c r="M26" s="3">
        <v>23</v>
      </c>
      <c r="N26" s="1" t="s">
        <v>549</v>
      </c>
      <c r="O26" s="3" t="s">
        <v>46</v>
      </c>
      <c r="Q26" s="3">
        <v>23</v>
      </c>
      <c r="R26" s="1" t="s">
        <v>709</v>
      </c>
      <c r="S26" s="3" t="s">
        <v>46</v>
      </c>
    </row>
    <row r="27" spans="1:19">
      <c r="A27" s="3">
        <v>24</v>
      </c>
      <c r="B27" s="1" t="s">
        <v>70</v>
      </c>
      <c r="C27" s="8" t="s">
        <v>46</v>
      </c>
      <c r="E27" s="3">
        <v>24</v>
      </c>
      <c r="F27" s="1" t="s">
        <v>185</v>
      </c>
      <c r="G27" s="3" t="s">
        <v>12</v>
      </c>
      <c r="I27" s="3">
        <v>24</v>
      </c>
      <c r="J27" s="1" t="s">
        <v>367</v>
      </c>
      <c r="K27" s="3" t="s">
        <v>11</v>
      </c>
      <c r="M27" s="3">
        <v>24</v>
      </c>
      <c r="N27" s="1" t="s">
        <v>550</v>
      </c>
      <c r="O27" s="3" t="s">
        <v>46</v>
      </c>
      <c r="Q27" s="3">
        <v>24</v>
      </c>
      <c r="R27" s="1" t="s">
        <v>710</v>
      </c>
      <c r="S27" s="3" t="s">
        <v>46</v>
      </c>
    </row>
    <row r="28" spans="1:19">
      <c r="A28" s="3">
        <v>25</v>
      </c>
      <c r="B28" s="1" t="s">
        <v>71</v>
      </c>
      <c r="C28" s="8" t="s">
        <v>46</v>
      </c>
      <c r="E28" s="3">
        <v>25</v>
      </c>
      <c r="F28" s="1" t="s">
        <v>186</v>
      </c>
      <c r="G28" s="3" t="s">
        <v>11</v>
      </c>
      <c r="I28" s="3">
        <v>25</v>
      </c>
      <c r="J28" s="1" t="s">
        <v>368</v>
      </c>
      <c r="K28" s="3" t="s">
        <v>12</v>
      </c>
      <c r="M28" s="3">
        <v>25</v>
      </c>
      <c r="N28" s="1" t="s">
        <v>551</v>
      </c>
      <c r="O28" s="3" t="s">
        <v>46</v>
      </c>
      <c r="Q28" s="3">
        <v>25</v>
      </c>
      <c r="R28" s="1" t="s">
        <v>711</v>
      </c>
      <c r="S28" s="3" t="s">
        <v>46</v>
      </c>
    </row>
    <row r="29" spans="1:19">
      <c r="A29" s="3">
        <v>26</v>
      </c>
      <c r="B29" s="1" t="s">
        <v>72</v>
      </c>
      <c r="C29" s="8" t="s">
        <v>46</v>
      </c>
      <c r="E29" s="3">
        <v>26</v>
      </c>
      <c r="F29" s="1" t="s">
        <v>187</v>
      </c>
      <c r="G29" s="3" t="s">
        <v>46</v>
      </c>
      <c r="I29" s="3">
        <v>26</v>
      </c>
      <c r="J29" s="1" t="s">
        <v>369</v>
      </c>
      <c r="K29" s="3" t="s">
        <v>46</v>
      </c>
      <c r="M29" s="3">
        <v>26</v>
      </c>
      <c r="N29" s="1" t="s">
        <v>552</v>
      </c>
      <c r="O29" s="3" t="s">
        <v>46</v>
      </c>
      <c r="Q29" s="3">
        <v>26</v>
      </c>
      <c r="R29" s="1" t="s">
        <v>712</v>
      </c>
      <c r="S29" s="3" t="s">
        <v>12</v>
      </c>
    </row>
    <row r="30" spans="1:19">
      <c r="A30" s="3">
        <v>27</v>
      </c>
      <c r="B30" s="1" t="s">
        <v>73</v>
      </c>
      <c r="C30" s="8" t="s">
        <v>12</v>
      </c>
      <c r="E30" s="3">
        <v>27</v>
      </c>
      <c r="F30" s="1" t="s">
        <v>188</v>
      </c>
      <c r="G30" s="3" t="s">
        <v>12</v>
      </c>
      <c r="I30" s="3">
        <v>27</v>
      </c>
      <c r="J30" s="1" t="s">
        <v>370</v>
      </c>
      <c r="K30" s="3" t="s">
        <v>12</v>
      </c>
      <c r="M30" s="3">
        <v>27</v>
      </c>
      <c r="N30" s="1" t="s">
        <v>553</v>
      </c>
      <c r="O30" s="3" t="s">
        <v>46</v>
      </c>
      <c r="Q30" s="3">
        <v>27</v>
      </c>
      <c r="R30" s="1" t="s">
        <v>713</v>
      </c>
      <c r="S30" s="3" t="s">
        <v>11</v>
      </c>
    </row>
    <row r="31" spans="1:19">
      <c r="A31" s="3">
        <v>28</v>
      </c>
      <c r="B31" s="1" t="s">
        <v>74</v>
      </c>
      <c r="C31" s="8" t="s">
        <v>12</v>
      </c>
      <c r="E31" s="3">
        <v>28</v>
      </c>
      <c r="F31" s="1" t="s">
        <v>189</v>
      </c>
      <c r="G31" s="3" t="s">
        <v>46</v>
      </c>
      <c r="I31" s="3">
        <v>28</v>
      </c>
      <c r="J31" s="1" t="s">
        <v>371</v>
      </c>
      <c r="K31" s="3" t="s">
        <v>11</v>
      </c>
      <c r="M31" s="3">
        <v>28</v>
      </c>
      <c r="N31" s="1" t="s">
        <v>554</v>
      </c>
      <c r="O31" s="3" t="s">
        <v>46</v>
      </c>
      <c r="Q31" s="3">
        <v>28</v>
      </c>
      <c r="R31" s="1" t="s">
        <v>714</v>
      </c>
      <c r="S31" s="3" t="s">
        <v>12</v>
      </c>
    </row>
    <row r="32" spans="1:19">
      <c r="A32" s="3">
        <v>29</v>
      </c>
      <c r="B32" s="1" t="s">
        <v>75</v>
      </c>
      <c r="C32" s="8" t="s">
        <v>11</v>
      </c>
      <c r="E32" s="3">
        <v>29</v>
      </c>
      <c r="F32" s="1" t="s">
        <v>190</v>
      </c>
      <c r="G32" s="3" t="s">
        <v>12</v>
      </c>
      <c r="I32" s="3">
        <v>29</v>
      </c>
      <c r="J32" s="1" t="s">
        <v>372</v>
      </c>
      <c r="K32" s="3" t="s">
        <v>46</v>
      </c>
      <c r="M32" s="3">
        <v>29</v>
      </c>
      <c r="N32" s="1" t="s">
        <v>555</v>
      </c>
      <c r="O32" s="3" t="s">
        <v>46</v>
      </c>
      <c r="Q32" s="3">
        <v>29</v>
      </c>
      <c r="R32" s="1" t="s">
        <v>715</v>
      </c>
      <c r="S32" s="3" t="s">
        <v>11</v>
      </c>
    </row>
    <row r="33" spans="1:19">
      <c r="A33" s="3">
        <v>30</v>
      </c>
      <c r="B33" s="1" t="s">
        <v>76</v>
      </c>
      <c r="C33" s="8" t="s">
        <v>12</v>
      </c>
      <c r="E33" s="3">
        <v>30</v>
      </c>
      <c r="F33" s="1" t="s">
        <v>191</v>
      </c>
      <c r="G33" s="3" t="s">
        <v>46</v>
      </c>
      <c r="I33" s="3">
        <v>30</v>
      </c>
      <c r="J33" s="1" t="s">
        <v>373</v>
      </c>
      <c r="K33" s="3" t="s">
        <v>12</v>
      </c>
      <c r="M33" s="3">
        <v>30</v>
      </c>
      <c r="N33" s="1"/>
      <c r="O33" s="3"/>
      <c r="Q33" s="3">
        <v>30</v>
      </c>
      <c r="R33" s="1" t="s">
        <v>716</v>
      </c>
      <c r="S33" s="3" t="s">
        <v>11</v>
      </c>
    </row>
    <row r="34" spans="1:19">
      <c r="A34" s="3">
        <v>31</v>
      </c>
      <c r="B34" s="1" t="s">
        <v>77</v>
      </c>
      <c r="C34" s="8" t="s">
        <v>46</v>
      </c>
      <c r="E34" s="3">
        <v>31</v>
      </c>
      <c r="F34" s="1" t="s">
        <v>192</v>
      </c>
      <c r="G34" s="3" t="s">
        <v>12</v>
      </c>
      <c r="I34" s="3">
        <v>31</v>
      </c>
      <c r="J34" s="1" t="s">
        <v>374</v>
      </c>
      <c r="K34" s="3" t="s">
        <v>46</v>
      </c>
      <c r="M34" s="3">
        <v>31</v>
      </c>
      <c r="N34" s="1" t="s">
        <v>556</v>
      </c>
      <c r="O34" s="3" t="s">
        <v>46</v>
      </c>
      <c r="Q34" s="3">
        <v>31</v>
      </c>
      <c r="R34" s="1" t="s">
        <v>717</v>
      </c>
      <c r="S34" s="3" t="s">
        <v>11</v>
      </c>
    </row>
    <row r="35" spans="1:19">
      <c r="A35" s="3">
        <v>32</v>
      </c>
      <c r="B35" s="1" t="s">
        <v>78</v>
      </c>
      <c r="C35" s="8" t="s">
        <v>12</v>
      </c>
      <c r="E35" s="3">
        <v>32</v>
      </c>
      <c r="F35" s="1" t="s">
        <v>193</v>
      </c>
      <c r="G35" s="3" t="s">
        <v>12</v>
      </c>
      <c r="I35" s="3">
        <v>32</v>
      </c>
      <c r="J35" s="1" t="s">
        <v>375</v>
      </c>
      <c r="K35" s="3" t="s">
        <v>12</v>
      </c>
      <c r="M35" s="3">
        <v>32</v>
      </c>
      <c r="N35" s="1" t="s">
        <v>557</v>
      </c>
      <c r="O35" s="3" t="s">
        <v>12</v>
      </c>
      <c r="Q35" s="3">
        <v>32</v>
      </c>
      <c r="R35" s="1" t="s">
        <v>718</v>
      </c>
      <c r="S35" s="3" t="s">
        <v>11</v>
      </c>
    </row>
    <row r="36" spans="1:19">
      <c r="A36" s="3">
        <v>33</v>
      </c>
      <c r="B36" s="1" t="s">
        <v>79</v>
      </c>
      <c r="C36" s="8" t="s">
        <v>12</v>
      </c>
      <c r="E36" s="3">
        <v>33</v>
      </c>
      <c r="F36" s="1" t="s">
        <v>194</v>
      </c>
      <c r="G36" s="3" t="s">
        <v>12</v>
      </c>
      <c r="I36" s="3">
        <v>33</v>
      </c>
      <c r="J36" s="1" t="s">
        <v>376</v>
      </c>
      <c r="K36" s="3" t="s">
        <v>12</v>
      </c>
      <c r="M36" s="3">
        <v>33</v>
      </c>
      <c r="N36" s="1" t="s">
        <v>558</v>
      </c>
      <c r="O36" s="3" t="s">
        <v>46</v>
      </c>
      <c r="Q36" s="3">
        <v>33</v>
      </c>
      <c r="R36" s="1" t="s">
        <v>719</v>
      </c>
      <c r="S36" s="3" t="s">
        <v>46</v>
      </c>
    </row>
    <row r="37" spans="1:19">
      <c r="A37" s="3">
        <v>34</v>
      </c>
      <c r="B37" s="1" t="s">
        <v>80</v>
      </c>
      <c r="C37" s="8" t="s">
        <v>46</v>
      </c>
      <c r="E37" s="3">
        <v>34</v>
      </c>
      <c r="F37" s="1" t="s">
        <v>195</v>
      </c>
      <c r="G37" s="3" t="s">
        <v>12</v>
      </c>
      <c r="I37" s="3">
        <v>34</v>
      </c>
      <c r="J37" s="1" t="s">
        <v>377</v>
      </c>
      <c r="K37" s="3" t="s">
        <v>12</v>
      </c>
      <c r="M37" s="3">
        <v>34</v>
      </c>
      <c r="N37" s="1" t="s">
        <v>559</v>
      </c>
      <c r="O37" s="3" t="s">
        <v>12</v>
      </c>
      <c r="Q37" s="3">
        <v>34</v>
      </c>
      <c r="R37" s="1" t="s">
        <v>720</v>
      </c>
      <c r="S37" s="3" t="s">
        <v>12</v>
      </c>
    </row>
    <row r="38" spans="1:19">
      <c r="A38" s="3">
        <v>35</v>
      </c>
      <c r="B38" s="1" t="s">
        <v>81</v>
      </c>
      <c r="C38" s="8" t="s">
        <v>46</v>
      </c>
      <c r="E38" s="3">
        <v>35</v>
      </c>
      <c r="F38" s="1" t="s">
        <v>196</v>
      </c>
      <c r="G38" s="3" t="s">
        <v>46</v>
      </c>
      <c r="I38" s="3">
        <v>35</v>
      </c>
      <c r="J38" s="1" t="s">
        <v>378</v>
      </c>
      <c r="K38" s="3" t="s">
        <v>12</v>
      </c>
      <c r="M38" s="3">
        <v>35</v>
      </c>
      <c r="N38" s="1" t="s">
        <v>560</v>
      </c>
      <c r="O38" s="3" t="s">
        <v>46</v>
      </c>
      <c r="Q38" s="3">
        <v>35</v>
      </c>
      <c r="R38" s="1" t="s">
        <v>721</v>
      </c>
      <c r="S38" s="3" t="s">
        <v>12</v>
      </c>
    </row>
    <row r="39" spans="1:19">
      <c r="A39" s="3">
        <v>36</v>
      </c>
      <c r="B39" s="1" t="s">
        <v>82</v>
      </c>
      <c r="C39" s="8" t="s">
        <v>46</v>
      </c>
      <c r="E39" s="3">
        <v>36</v>
      </c>
      <c r="F39" s="1" t="s">
        <v>197</v>
      </c>
      <c r="G39" s="3" t="s">
        <v>12</v>
      </c>
      <c r="I39" s="3">
        <v>36</v>
      </c>
      <c r="J39" s="1" t="s">
        <v>379</v>
      </c>
      <c r="K39" s="3" t="s">
        <v>46</v>
      </c>
      <c r="M39" s="3">
        <v>36</v>
      </c>
      <c r="N39" s="1" t="s">
        <v>561</v>
      </c>
      <c r="O39" s="3" t="s">
        <v>12</v>
      </c>
      <c r="Q39" s="3">
        <v>36</v>
      </c>
      <c r="R39" s="1" t="s">
        <v>722</v>
      </c>
      <c r="S39" s="3" t="s">
        <v>11</v>
      </c>
    </row>
    <row r="40" spans="1:19">
      <c r="A40" s="3">
        <v>37</v>
      </c>
      <c r="B40" s="1" t="s">
        <v>83</v>
      </c>
      <c r="C40" s="8" t="s">
        <v>12</v>
      </c>
      <c r="E40" s="3">
        <v>37</v>
      </c>
      <c r="F40" s="1" t="s">
        <v>198</v>
      </c>
      <c r="G40" s="3"/>
      <c r="I40" s="3">
        <v>37</v>
      </c>
      <c r="J40" s="1" t="s">
        <v>380</v>
      </c>
      <c r="K40" s="3" t="s">
        <v>12</v>
      </c>
      <c r="M40" s="3">
        <v>37</v>
      </c>
      <c r="N40" s="1" t="s">
        <v>562</v>
      </c>
      <c r="O40" s="3" t="s">
        <v>12</v>
      </c>
      <c r="Q40" s="3">
        <v>37</v>
      </c>
      <c r="R40" s="1" t="s">
        <v>723</v>
      </c>
      <c r="S40" s="3" t="s">
        <v>46</v>
      </c>
    </row>
    <row r="41" spans="1:19">
      <c r="A41" s="3">
        <v>38</v>
      </c>
      <c r="B41" s="1" t="s">
        <v>84</v>
      </c>
      <c r="C41" s="8" t="s">
        <v>46</v>
      </c>
      <c r="E41" s="3">
        <v>38</v>
      </c>
      <c r="F41" s="1" t="s">
        <v>199</v>
      </c>
      <c r="G41" s="3" t="s">
        <v>12</v>
      </c>
      <c r="I41" s="3">
        <v>38</v>
      </c>
      <c r="J41" s="1" t="s">
        <v>381</v>
      </c>
      <c r="K41" s="3" t="s">
        <v>11</v>
      </c>
      <c r="M41" s="3">
        <v>38</v>
      </c>
      <c r="N41" s="1" t="s">
        <v>563</v>
      </c>
      <c r="O41" s="3" t="s">
        <v>46</v>
      </c>
      <c r="Q41" s="3">
        <v>38</v>
      </c>
      <c r="R41" s="1" t="s">
        <v>724</v>
      </c>
      <c r="S41" s="3" t="s">
        <v>46</v>
      </c>
    </row>
    <row r="42" spans="1:19">
      <c r="A42" s="3">
        <v>39</v>
      </c>
      <c r="B42" s="1" t="s">
        <v>85</v>
      </c>
      <c r="C42" s="8" t="s">
        <v>12</v>
      </c>
      <c r="E42" s="3">
        <v>39</v>
      </c>
      <c r="F42" s="1" t="s">
        <v>200</v>
      </c>
      <c r="G42" s="3" t="s">
        <v>46</v>
      </c>
      <c r="I42" s="3">
        <v>39</v>
      </c>
      <c r="J42" s="1" t="s">
        <v>382</v>
      </c>
      <c r="K42" s="3" t="s">
        <v>12</v>
      </c>
      <c r="M42" s="3">
        <v>39</v>
      </c>
      <c r="N42" s="1" t="s">
        <v>564</v>
      </c>
      <c r="O42" s="3" t="s">
        <v>11</v>
      </c>
      <c r="Q42" s="3">
        <v>39</v>
      </c>
      <c r="R42" s="1" t="s">
        <v>725</v>
      </c>
      <c r="S42" s="3" t="s">
        <v>46</v>
      </c>
    </row>
    <row r="43" spans="1:19">
      <c r="A43" s="3">
        <v>40</v>
      </c>
      <c r="B43" s="1" t="s">
        <v>3</v>
      </c>
      <c r="C43" s="8" t="s">
        <v>12</v>
      </c>
      <c r="E43" s="3">
        <v>40</v>
      </c>
      <c r="F43" s="1" t="s">
        <v>201</v>
      </c>
      <c r="G43" s="3" t="s">
        <v>46</v>
      </c>
      <c r="I43" s="3">
        <v>40</v>
      </c>
      <c r="J43" s="1" t="s">
        <v>383</v>
      </c>
      <c r="K43" s="3" t="s">
        <v>46</v>
      </c>
      <c r="M43" s="3">
        <v>40</v>
      </c>
      <c r="N43" s="1" t="s">
        <v>565</v>
      </c>
      <c r="O43" s="3" t="s">
        <v>12</v>
      </c>
      <c r="Q43" s="3">
        <v>40</v>
      </c>
      <c r="R43" s="1" t="s">
        <v>726</v>
      </c>
      <c r="S43" s="3" t="s">
        <v>46</v>
      </c>
    </row>
    <row r="44" spans="1:19">
      <c r="A44" s="3">
        <v>41</v>
      </c>
      <c r="B44" s="1" t="s">
        <v>86</v>
      </c>
      <c r="C44" s="8" t="s">
        <v>12</v>
      </c>
      <c r="E44" s="3">
        <v>41</v>
      </c>
      <c r="F44" s="1" t="s">
        <v>202</v>
      </c>
      <c r="G44" s="3" t="s">
        <v>12</v>
      </c>
      <c r="I44" s="3">
        <v>41</v>
      </c>
      <c r="J44" s="1" t="s">
        <v>384</v>
      </c>
      <c r="K44" s="3" t="s">
        <v>46</v>
      </c>
      <c r="M44" s="3">
        <v>41</v>
      </c>
      <c r="N44" s="1" t="s">
        <v>566</v>
      </c>
      <c r="O44" s="3" t="s">
        <v>12</v>
      </c>
      <c r="Q44" s="3">
        <v>41</v>
      </c>
      <c r="R44" s="1" t="s">
        <v>727</v>
      </c>
      <c r="S44" s="3"/>
    </row>
    <row r="45" spans="1:19">
      <c r="A45" s="3">
        <v>42</v>
      </c>
      <c r="B45" s="1" t="s">
        <v>87</v>
      </c>
      <c r="C45" s="8" t="s">
        <v>12</v>
      </c>
      <c r="E45" s="3">
        <v>42</v>
      </c>
      <c r="F45" s="1" t="s">
        <v>203</v>
      </c>
      <c r="G45" s="3" t="s">
        <v>12</v>
      </c>
      <c r="I45" s="3">
        <v>42</v>
      </c>
      <c r="J45" s="1" t="s">
        <v>385</v>
      </c>
      <c r="K45" s="3" t="s">
        <v>12</v>
      </c>
      <c r="M45" s="3">
        <v>42</v>
      </c>
      <c r="N45" s="1" t="s">
        <v>567</v>
      </c>
      <c r="O45" s="3" t="s">
        <v>46</v>
      </c>
      <c r="Q45" s="3">
        <v>42</v>
      </c>
      <c r="R45" s="1" t="s">
        <v>728</v>
      </c>
      <c r="S45" s="3" t="s">
        <v>46</v>
      </c>
    </row>
    <row r="46" spans="1:19">
      <c r="A46" s="3">
        <v>43</v>
      </c>
      <c r="B46" s="1" t="s">
        <v>88</v>
      </c>
      <c r="C46" s="8" t="s">
        <v>12</v>
      </c>
      <c r="E46" s="3">
        <v>43</v>
      </c>
      <c r="F46" s="1" t="s">
        <v>204</v>
      </c>
      <c r="G46" s="3" t="s">
        <v>12</v>
      </c>
      <c r="I46" s="3">
        <v>43</v>
      </c>
      <c r="J46" s="1" t="s">
        <v>386</v>
      </c>
      <c r="K46" s="3" t="s">
        <v>11</v>
      </c>
      <c r="M46" s="3">
        <v>43</v>
      </c>
      <c r="N46" s="1" t="s">
        <v>568</v>
      </c>
      <c r="O46" s="3" t="s">
        <v>12</v>
      </c>
      <c r="Q46" s="3">
        <v>43</v>
      </c>
      <c r="R46" s="1" t="s">
        <v>729</v>
      </c>
      <c r="S46" s="3" t="s">
        <v>46</v>
      </c>
    </row>
    <row r="47" spans="1:19">
      <c r="A47" s="3">
        <v>44</v>
      </c>
      <c r="B47" s="1" t="s">
        <v>89</v>
      </c>
      <c r="C47" s="8" t="s">
        <v>46</v>
      </c>
      <c r="E47" s="3">
        <v>44</v>
      </c>
      <c r="F47" s="1" t="s">
        <v>205</v>
      </c>
      <c r="G47" s="3" t="s">
        <v>46</v>
      </c>
      <c r="I47" s="3">
        <v>44</v>
      </c>
      <c r="J47" s="1" t="s">
        <v>387</v>
      </c>
      <c r="K47" s="3" t="s">
        <v>12</v>
      </c>
      <c r="M47" s="3">
        <v>44</v>
      </c>
      <c r="N47" s="1" t="s">
        <v>569</v>
      </c>
      <c r="O47" s="3" t="s">
        <v>11</v>
      </c>
      <c r="Q47" s="3">
        <v>44</v>
      </c>
      <c r="R47" s="1" t="s">
        <v>730</v>
      </c>
      <c r="S47" s="3" t="s">
        <v>11</v>
      </c>
    </row>
    <row r="48" spans="1:19">
      <c r="A48" s="3">
        <v>45</v>
      </c>
      <c r="B48" s="1" t="s">
        <v>90</v>
      </c>
      <c r="C48" s="8" t="s">
        <v>12</v>
      </c>
      <c r="E48" s="3">
        <v>45</v>
      </c>
      <c r="F48" s="1" t="s">
        <v>206</v>
      </c>
      <c r="G48" s="3" t="s">
        <v>46</v>
      </c>
      <c r="I48" s="3">
        <v>45</v>
      </c>
      <c r="J48" s="1" t="s">
        <v>388</v>
      </c>
      <c r="K48" s="3" t="s">
        <v>12</v>
      </c>
      <c r="M48" s="3">
        <v>45</v>
      </c>
      <c r="N48" s="1" t="s">
        <v>570</v>
      </c>
      <c r="O48" s="3" t="s">
        <v>11</v>
      </c>
      <c r="Q48" s="3">
        <v>45</v>
      </c>
      <c r="R48" s="1" t="s">
        <v>731</v>
      </c>
      <c r="S48" s="3" t="s">
        <v>46</v>
      </c>
    </row>
    <row r="49" spans="1:19">
      <c r="A49" s="3">
        <v>46</v>
      </c>
      <c r="B49" s="1" t="s">
        <v>91</v>
      </c>
      <c r="C49" s="8" t="s">
        <v>12</v>
      </c>
      <c r="E49" s="3">
        <v>46</v>
      </c>
      <c r="F49" s="1" t="s">
        <v>207</v>
      </c>
      <c r="G49" s="3" t="s">
        <v>12</v>
      </c>
      <c r="I49" s="3">
        <v>46</v>
      </c>
      <c r="J49" s="1" t="s">
        <v>389</v>
      </c>
      <c r="K49" s="3" t="s">
        <v>46</v>
      </c>
      <c r="M49" s="3">
        <v>46</v>
      </c>
      <c r="N49" s="1" t="s">
        <v>571</v>
      </c>
      <c r="O49" s="3" t="s">
        <v>12</v>
      </c>
      <c r="Q49" s="3">
        <v>46</v>
      </c>
      <c r="R49" s="1" t="s">
        <v>732</v>
      </c>
      <c r="S49" s="3" t="s">
        <v>46</v>
      </c>
    </row>
    <row r="50" spans="1:19">
      <c r="A50" s="3">
        <v>47</v>
      </c>
      <c r="B50" s="1" t="s">
        <v>92</v>
      </c>
      <c r="C50" s="8" t="s">
        <v>12</v>
      </c>
      <c r="E50" s="3">
        <v>47</v>
      </c>
      <c r="F50" s="1" t="s">
        <v>208</v>
      </c>
      <c r="G50" s="3" t="s">
        <v>11</v>
      </c>
      <c r="I50" s="3">
        <v>47</v>
      </c>
      <c r="J50" s="1" t="s">
        <v>390</v>
      </c>
      <c r="K50" s="3" t="s">
        <v>12</v>
      </c>
      <c r="M50" s="3">
        <v>47</v>
      </c>
      <c r="N50" s="1" t="s">
        <v>572</v>
      </c>
      <c r="O50" s="3" t="s">
        <v>12</v>
      </c>
      <c r="Q50" s="3">
        <v>47</v>
      </c>
      <c r="R50" s="1" t="s">
        <v>733</v>
      </c>
      <c r="S50" s="3" t="s">
        <v>12</v>
      </c>
    </row>
    <row r="51" spans="1:19">
      <c r="A51" s="3">
        <v>48</v>
      </c>
      <c r="B51" s="1" t="s">
        <v>93</v>
      </c>
      <c r="C51" s="8" t="s">
        <v>12</v>
      </c>
      <c r="E51" s="3">
        <v>48</v>
      </c>
      <c r="F51" s="1" t="s">
        <v>209</v>
      </c>
      <c r="G51" s="3" t="s">
        <v>12</v>
      </c>
      <c r="I51" s="3">
        <v>48</v>
      </c>
      <c r="J51" s="1" t="s">
        <v>391</v>
      </c>
      <c r="K51" s="3" t="s">
        <v>12</v>
      </c>
      <c r="M51" s="3">
        <v>48</v>
      </c>
      <c r="N51" s="1" t="s">
        <v>573</v>
      </c>
      <c r="O51" s="3" t="s">
        <v>12</v>
      </c>
      <c r="Q51" s="3">
        <v>48</v>
      </c>
      <c r="R51" s="1" t="s">
        <v>734</v>
      </c>
      <c r="S51" s="3" t="s">
        <v>11</v>
      </c>
    </row>
    <row r="52" spans="1:19">
      <c r="A52" s="3">
        <v>49</v>
      </c>
      <c r="B52" s="1" t="s">
        <v>94</v>
      </c>
      <c r="C52" s="8" t="s">
        <v>5</v>
      </c>
      <c r="E52" s="3">
        <v>49</v>
      </c>
      <c r="F52" s="1" t="s">
        <v>210</v>
      </c>
      <c r="G52" s="3" t="s">
        <v>12</v>
      </c>
      <c r="I52" s="3">
        <v>49</v>
      </c>
      <c r="J52" s="1" t="s">
        <v>392</v>
      </c>
      <c r="K52" s="3" t="s">
        <v>12</v>
      </c>
      <c r="M52" s="3">
        <v>49</v>
      </c>
      <c r="N52" s="1" t="s">
        <v>574</v>
      </c>
      <c r="O52" s="3" t="s">
        <v>46</v>
      </c>
      <c r="Q52" s="3">
        <v>49</v>
      </c>
      <c r="R52" s="1" t="s">
        <v>735</v>
      </c>
      <c r="S52" s="3" t="s">
        <v>12</v>
      </c>
    </row>
    <row r="53" spans="1:19">
      <c r="A53" s="3">
        <v>50</v>
      </c>
      <c r="B53" s="1" t="s">
        <v>95</v>
      </c>
      <c r="C53" s="8" t="s">
        <v>12</v>
      </c>
      <c r="E53" s="3">
        <v>50</v>
      </c>
      <c r="F53" s="1" t="s">
        <v>211</v>
      </c>
      <c r="G53" s="3" t="s">
        <v>46</v>
      </c>
      <c r="I53" s="3">
        <v>50</v>
      </c>
      <c r="J53" s="1" t="s">
        <v>393</v>
      </c>
      <c r="K53" s="3" t="s">
        <v>12</v>
      </c>
      <c r="M53" s="3">
        <v>50</v>
      </c>
      <c r="N53" s="1" t="s">
        <v>575</v>
      </c>
      <c r="O53" s="3" t="s">
        <v>46</v>
      </c>
      <c r="Q53" s="3">
        <v>50</v>
      </c>
      <c r="R53" s="1" t="s">
        <v>736</v>
      </c>
      <c r="S53" s="3"/>
    </row>
    <row r="54" spans="1:19">
      <c r="A54" s="3">
        <v>51</v>
      </c>
      <c r="B54" s="1" t="s">
        <v>96</v>
      </c>
      <c r="C54" s="8" t="s">
        <v>46</v>
      </c>
      <c r="E54" s="3">
        <v>51</v>
      </c>
      <c r="F54" s="1" t="s">
        <v>212</v>
      </c>
      <c r="G54" s="3" t="s">
        <v>12</v>
      </c>
      <c r="I54" s="3">
        <v>51</v>
      </c>
      <c r="J54" s="1" t="s">
        <v>394</v>
      </c>
      <c r="K54" s="3" t="s">
        <v>46</v>
      </c>
      <c r="M54" s="3">
        <v>51</v>
      </c>
      <c r="N54" s="1" t="s">
        <v>576</v>
      </c>
      <c r="O54" s="3" t="s">
        <v>46</v>
      </c>
      <c r="Q54" s="3">
        <v>51</v>
      </c>
      <c r="R54" s="1" t="s">
        <v>737</v>
      </c>
      <c r="S54" s="3" t="s">
        <v>11</v>
      </c>
    </row>
    <row r="55" spans="1:19">
      <c r="A55" s="3">
        <v>52</v>
      </c>
      <c r="B55" s="1" t="s">
        <v>97</v>
      </c>
      <c r="C55" s="8" t="s">
        <v>12</v>
      </c>
      <c r="E55" s="3">
        <v>52</v>
      </c>
      <c r="F55" s="1" t="s">
        <v>213</v>
      </c>
      <c r="G55" s="3" t="s">
        <v>12</v>
      </c>
      <c r="I55" s="3">
        <v>52</v>
      </c>
      <c r="J55" s="1" t="s">
        <v>395</v>
      </c>
      <c r="K55" s="3" t="s">
        <v>46</v>
      </c>
      <c r="M55" s="3">
        <v>52</v>
      </c>
      <c r="N55" s="1" t="s">
        <v>577</v>
      </c>
      <c r="O55" s="3" t="s">
        <v>12</v>
      </c>
      <c r="Q55" s="3">
        <v>52</v>
      </c>
      <c r="R55" s="1" t="s">
        <v>738</v>
      </c>
      <c r="S55" s="3" t="s">
        <v>12</v>
      </c>
    </row>
    <row r="56" spans="1:19">
      <c r="A56" s="3">
        <v>53</v>
      </c>
      <c r="B56" s="1" t="s">
        <v>98</v>
      </c>
      <c r="C56" s="8" t="s">
        <v>12</v>
      </c>
      <c r="E56" s="3">
        <v>53</v>
      </c>
      <c r="F56" s="1" t="s">
        <v>214</v>
      </c>
      <c r="G56" s="3" t="s">
        <v>12</v>
      </c>
      <c r="I56" s="3">
        <v>53</v>
      </c>
      <c r="J56" s="1" t="s">
        <v>396</v>
      </c>
      <c r="K56" s="3" t="s">
        <v>12</v>
      </c>
      <c r="M56" s="3">
        <v>53</v>
      </c>
      <c r="N56" s="1" t="s">
        <v>578</v>
      </c>
      <c r="O56" s="3" t="s">
        <v>12</v>
      </c>
      <c r="Q56" s="3">
        <v>53</v>
      </c>
      <c r="R56" s="1" t="s">
        <v>739</v>
      </c>
      <c r="S56" s="3" t="s">
        <v>46</v>
      </c>
    </row>
    <row r="57" spans="1:19">
      <c r="A57" s="3">
        <v>54</v>
      </c>
      <c r="B57" s="1" t="s">
        <v>41</v>
      </c>
      <c r="C57" s="8" t="s">
        <v>12</v>
      </c>
      <c r="E57" s="3">
        <v>54</v>
      </c>
      <c r="F57" s="1" t="s">
        <v>215</v>
      </c>
      <c r="G57" s="3" t="s">
        <v>46</v>
      </c>
      <c r="I57" s="3">
        <v>54</v>
      </c>
      <c r="J57" s="1" t="s">
        <v>397</v>
      </c>
      <c r="K57" s="3" t="s">
        <v>12</v>
      </c>
      <c r="M57" s="3">
        <v>54</v>
      </c>
      <c r="N57" s="1" t="s">
        <v>579</v>
      </c>
      <c r="O57" s="3" t="s">
        <v>46</v>
      </c>
      <c r="Q57" s="3">
        <v>54</v>
      </c>
      <c r="R57" s="1" t="s">
        <v>740</v>
      </c>
      <c r="S57" s="3" t="s">
        <v>11</v>
      </c>
    </row>
    <row r="58" spans="1:19">
      <c r="A58" s="3">
        <v>55</v>
      </c>
      <c r="B58" s="1" t="s">
        <v>99</v>
      </c>
      <c r="C58" s="8" t="s">
        <v>12</v>
      </c>
      <c r="E58" s="3">
        <v>55</v>
      </c>
      <c r="F58" s="1" t="s">
        <v>216</v>
      </c>
      <c r="G58" s="3" t="s">
        <v>46</v>
      </c>
      <c r="I58" s="3">
        <v>55</v>
      </c>
      <c r="J58" s="1" t="s">
        <v>398</v>
      </c>
      <c r="K58" s="3" t="s">
        <v>46</v>
      </c>
      <c r="M58" s="3">
        <v>55</v>
      </c>
      <c r="N58" s="1" t="s">
        <v>580</v>
      </c>
      <c r="O58" s="3" t="s">
        <v>12</v>
      </c>
      <c r="Q58" s="3">
        <v>55</v>
      </c>
      <c r="R58" s="1" t="s">
        <v>741</v>
      </c>
      <c r="S58" s="3" t="s">
        <v>12</v>
      </c>
    </row>
    <row r="59" spans="1:19">
      <c r="A59" s="3">
        <v>56</v>
      </c>
      <c r="B59" s="1" t="s">
        <v>100</v>
      </c>
      <c r="C59" s="8" t="s">
        <v>12</v>
      </c>
      <c r="E59" s="3">
        <v>56</v>
      </c>
      <c r="F59" s="1" t="s">
        <v>217</v>
      </c>
      <c r="G59" s="3" t="s">
        <v>46</v>
      </c>
      <c r="I59" s="3">
        <v>56</v>
      </c>
      <c r="J59" s="1" t="s">
        <v>399</v>
      </c>
      <c r="K59" s="3" t="s">
        <v>46</v>
      </c>
      <c r="M59" s="3">
        <v>56</v>
      </c>
      <c r="N59" s="1" t="s">
        <v>581</v>
      </c>
      <c r="O59" s="3" t="s">
        <v>46</v>
      </c>
      <c r="Q59" s="3">
        <v>56</v>
      </c>
      <c r="R59" s="1" t="s">
        <v>742</v>
      </c>
      <c r="S59" s="3" t="s">
        <v>11</v>
      </c>
    </row>
    <row r="60" spans="1:19">
      <c r="A60" s="3">
        <v>57</v>
      </c>
      <c r="B60" s="1" t="s">
        <v>15</v>
      </c>
      <c r="C60" s="8" t="s">
        <v>12</v>
      </c>
      <c r="E60" s="3">
        <v>57</v>
      </c>
      <c r="F60" s="1" t="s">
        <v>218</v>
      </c>
      <c r="G60" s="3" t="s">
        <v>46</v>
      </c>
      <c r="I60" s="3">
        <v>57</v>
      </c>
      <c r="J60" s="1" t="s">
        <v>400</v>
      </c>
      <c r="K60" s="3" t="s">
        <v>12</v>
      </c>
      <c r="M60" s="3">
        <v>57</v>
      </c>
      <c r="N60" s="1" t="s">
        <v>582</v>
      </c>
      <c r="O60" s="3" t="s">
        <v>12</v>
      </c>
      <c r="Q60" s="3">
        <v>57</v>
      </c>
      <c r="R60" s="1" t="s">
        <v>743</v>
      </c>
      <c r="S60" s="3" t="s">
        <v>12</v>
      </c>
    </row>
    <row r="61" spans="1:19">
      <c r="A61" s="3">
        <v>58</v>
      </c>
      <c r="B61" s="1" t="s">
        <v>101</v>
      </c>
      <c r="C61" s="8" t="s">
        <v>12</v>
      </c>
      <c r="E61" s="3">
        <v>58</v>
      </c>
      <c r="F61" s="1" t="s">
        <v>219</v>
      </c>
      <c r="G61" s="3" t="s">
        <v>12</v>
      </c>
      <c r="I61" s="3">
        <v>58</v>
      </c>
      <c r="J61" s="1" t="s">
        <v>401</v>
      </c>
      <c r="K61" s="3" t="s">
        <v>46</v>
      </c>
      <c r="M61" s="3">
        <v>58</v>
      </c>
      <c r="N61" s="1" t="s">
        <v>583</v>
      </c>
      <c r="O61" s="3" t="s">
        <v>46</v>
      </c>
      <c r="Q61" s="3">
        <v>58</v>
      </c>
      <c r="R61" s="1" t="s">
        <v>744</v>
      </c>
      <c r="S61" s="3" t="s">
        <v>46</v>
      </c>
    </row>
    <row r="62" spans="1:19">
      <c r="A62" s="3">
        <v>59</v>
      </c>
      <c r="B62" s="1" t="s">
        <v>102</v>
      </c>
      <c r="C62" s="8" t="s">
        <v>12</v>
      </c>
      <c r="E62" s="3">
        <v>59</v>
      </c>
      <c r="F62" s="1" t="s">
        <v>220</v>
      </c>
      <c r="G62" s="3" t="s">
        <v>46</v>
      </c>
      <c r="I62" s="3">
        <v>59</v>
      </c>
      <c r="J62" s="1" t="s">
        <v>402</v>
      </c>
      <c r="K62" s="3" t="s">
        <v>11</v>
      </c>
      <c r="M62" s="3">
        <v>59</v>
      </c>
      <c r="N62" s="1" t="s">
        <v>584</v>
      </c>
      <c r="O62" s="3" t="s">
        <v>12</v>
      </c>
      <c r="Q62" s="3">
        <v>59</v>
      </c>
      <c r="R62" s="1" t="s">
        <v>745</v>
      </c>
      <c r="S62" s="3" t="s">
        <v>11</v>
      </c>
    </row>
    <row r="63" spans="1:19">
      <c r="A63" s="3">
        <v>60</v>
      </c>
      <c r="B63" s="1" t="s">
        <v>103</v>
      </c>
      <c r="C63" s="8" t="s">
        <v>46</v>
      </c>
      <c r="E63" s="3">
        <v>60</v>
      </c>
      <c r="F63" s="1" t="s">
        <v>221</v>
      </c>
      <c r="G63" s="3" t="s">
        <v>11</v>
      </c>
      <c r="I63" s="3">
        <v>60</v>
      </c>
      <c r="J63" s="1" t="s">
        <v>403</v>
      </c>
      <c r="K63" s="3" t="s">
        <v>46</v>
      </c>
      <c r="M63" s="3">
        <v>60</v>
      </c>
      <c r="N63" s="1" t="s">
        <v>585</v>
      </c>
      <c r="O63" s="3" t="s">
        <v>12</v>
      </c>
      <c r="Q63" s="3">
        <v>60</v>
      </c>
      <c r="R63" s="1" t="s">
        <v>746</v>
      </c>
      <c r="S63" s="3" t="s">
        <v>11</v>
      </c>
    </row>
    <row r="64" spans="1:19">
      <c r="A64" s="3">
        <v>61</v>
      </c>
      <c r="B64" s="1" t="s">
        <v>104</v>
      </c>
      <c r="C64" s="8" t="s">
        <v>12</v>
      </c>
      <c r="E64" s="3">
        <v>61</v>
      </c>
      <c r="F64" s="1" t="s">
        <v>222</v>
      </c>
      <c r="G64" s="3" t="s">
        <v>46</v>
      </c>
      <c r="I64" s="3">
        <v>61</v>
      </c>
      <c r="J64" s="1" t="s">
        <v>404</v>
      </c>
      <c r="K64" s="3" t="s">
        <v>46</v>
      </c>
      <c r="M64" s="3">
        <v>61</v>
      </c>
      <c r="N64" s="1" t="s">
        <v>586</v>
      </c>
      <c r="O64" s="3" t="s">
        <v>46</v>
      </c>
      <c r="Q64" s="3">
        <v>61</v>
      </c>
      <c r="R64" s="1" t="s">
        <v>747</v>
      </c>
      <c r="S64" s="3" t="s">
        <v>46</v>
      </c>
    </row>
    <row r="65" spans="1:19">
      <c r="A65" s="3">
        <v>62</v>
      </c>
      <c r="B65" s="1" t="s">
        <v>105</v>
      </c>
      <c r="C65" s="8" t="s">
        <v>12</v>
      </c>
      <c r="E65" s="3">
        <v>62</v>
      </c>
      <c r="F65" s="1" t="s">
        <v>223</v>
      </c>
      <c r="G65" s="3" t="s">
        <v>12</v>
      </c>
      <c r="I65" s="3">
        <v>62</v>
      </c>
      <c r="J65" s="1" t="s">
        <v>405</v>
      </c>
      <c r="K65" s="3" t="s">
        <v>46</v>
      </c>
      <c r="M65" s="3">
        <v>62</v>
      </c>
      <c r="N65" s="1" t="s">
        <v>587</v>
      </c>
      <c r="O65" s="3" t="s">
        <v>46</v>
      </c>
      <c r="Q65" s="3">
        <v>62</v>
      </c>
      <c r="R65" s="1" t="s">
        <v>748</v>
      </c>
      <c r="S65" s="3" t="s">
        <v>11</v>
      </c>
    </row>
    <row r="66" spans="1:19">
      <c r="A66" s="3">
        <v>63</v>
      </c>
      <c r="B66" s="1" t="s">
        <v>106</v>
      </c>
      <c r="C66" s="8" t="s">
        <v>12</v>
      </c>
      <c r="E66" s="3">
        <v>63</v>
      </c>
      <c r="F66" s="1" t="s">
        <v>224</v>
      </c>
      <c r="G66" s="3" t="s">
        <v>12</v>
      </c>
      <c r="I66" s="3">
        <v>63</v>
      </c>
      <c r="J66" s="1" t="s">
        <v>406</v>
      </c>
      <c r="K66" s="3" t="s">
        <v>12</v>
      </c>
      <c r="M66" s="3">
        <v>63</v>
      </c>
      <c r="N66" s="1" t="s">
        <v>588</v>
      </c>
      <c r="O66" s="3" t="s">
        <v>46</v>
      </c>
      <c r="Q66" s="3">
        <v>63</v>
      </c>
      <c r="R66" s="1" t="s">
        <v>749</v>
      </c>
      <c r="S66" s="3" t="s">
        <v>46</v>
      </c>
    </row>
    <row r="67" spans="1:19">
      <c r="A67" s="3">
        <v>64</v>
      </c>
      <c r="B67" s="1" t="s">
        <v>107</v>
      </c>
      <c r="C67" s="8" t="s">
        <v>12</v>
      </c>
      <c r="E67" s="3">
        <v>64</v>
      </c>
      <c r="F67" s="1" t="s">
        <v>225</v>
      </c>
      <c r="G67" s="3" t="s">
        <v>12</v>
      </c>
      <c r="I67" s="3">
        <v>64</v>
      </c>
      <c r="J67" s="1" t="s">
        <v>407</v>
      </c>
      <c r="K67" s="3" t="s">
        <v>12</v>
      </c>
      <c r="M67" s="3">
        <v>64</v>
      </c>
      <c r="N67" s="1" t="s">
        <v>589</v>
      </c>
      <c r="O67" s="3" t="s">
        <v>46</v>
      </c>
      <c r="Q67" s="3">
        <v>64</v>
      </c>
      <c r="R67" s="1" t="s">
        <v>750</v>
      </c>
      <c r="S67" s="3"/>
    </row>
    <row r="68" spans="1:19">
      <c r="A68" s="3">
        <v>65</v>
      </c>
      <c r="B68" s="1" t="s">
        <v>108</v>
      </c>
      <c r="C68" s="8" t="s">
        <v>46</v>
      </c>
      <c r="E68" s="3">
        <v>65</v>
      </c>
      <c r="F68" s="1" t="s">
        <v>226</v>
      </c>
      <c r="G68" s="3" t="s">
        <v>12</v>
      </c>
      <c r="I68" s="3">
        <v>65</v>
      </c>
      <c r="J68" s="1" t="s">
        <v>408</v>
      </c>
      <c r="K68" s="3" t="s">
        <v>12</v>
      </c>
      <c r="M68" s="3">
        <v>65</v>
      </c>
      <c r="N68" s="1" t="s">
        <v>590</v>
      </c>
      <c r="O68" s="3" t="s">
        <v>12</v>
      </c>
      <c r="Q68" s="3">
        <v>65</v>
      </c>
      <c r="R68" s="1" t="s">
        <v>751</v>
      </c>
      <c r="S68" s="3"/>
    </row>
    <row r="69" spans="1:19">
      <c r="A69" s="3">
        <v>66</v>
      </c>
      <c r="B69" s="1" t="s">
        <v>109</v>
      </c>
      <c r="C69" s="8" t="s">
        <v>12</v>
      </c>
      <c r="E69" s="3">
        <v>66</v>
      </c>
      <c r="F69" s="1" t="s">
        <v>227</v>
      </c>
      <c r="G69" s="3"/>
      <c r="I69" s="3">
        <v>66</v>
      </c>
      <c r="J69" s="1" t="s">
        <v>409</v>
      </c>
      <c r="K69" s="3" t="s">
        <v>12</v>
      </c>
      <c r="M69" s="3">
        <v>66</v>
      </c>
      <c r="N69" s="1" t="s">
        <v>591</v>
      </c>
      <c r="O69" s="3" t="s">
        <v>46</v>
      </c>
      <c r="Q69" s="3">
        <v>66</v>
      </c>
      <c r="R69" s="1" t="s">
        <v>752</v>
      </c>
      <c r="S69" s="3" t="s">
        <v>46</v>
      </c>
    </row>
    <row r="70" spans="1:19">
      <c r="A70" s="3">
        <v>67</v>
      </c>
      <c r="B70" s="1" t="s">
        <v>110</v>
      </c>
      <c r="C70" s="8" t="s">
        <v>12</v>
      </c>
      <c r="E70" s="3">
        <v>67</v>
      </c>
      <c r="F70" s="1" t="s">
        <v>228</v>
      </c>
      <c r="G70" s="3" t="s">
        <v>12</v>
      </c>
      <c r="I70" s="3">
        <v>67</v>
      </c>
      <c r="J70" s="1" t="s">
        <v>410</v>
      </c>
      <c r="K70" s="3" t="s">
        <v>12</v>
      </c>
      <c r="M70" s="3">
        <v>67</v>
      </c>
      <c r="N70" s="1" t="s">
        <v>592</v>
      </c>
      <c r="O70" s="3" t="s">
        <v>12</v>
      </c>
      <c r="Q70" s="3">
        <v>67</v>
      </c>
      <c r="R70" s="1" t="s">
        <v>753</v>
      </c>
      <c r="S70" s="3" t="s">
        <v>46</v>
      </c>
    </row>
    <row r="71" spans="1:19">
      <c r="A71" s="3">
        <v>68</v>
      </c>
      <c r="B71" s="1" t="s">
        <v>111</v>
      </c>
      <c r="C71" s="8" t="s">
        <v>12</v>
      </c>
      <c r="E71" s="3">
        <v>68</v>
      </c>
      <c r="F71" s="1" t="s">
        <v>229</v>
      </c>
      <c r="G71" s="3" t="s">
        <v>12</v>
      </c>
      <c r="I71" s="3">
        <v>68</v>
      </c>
      <c r="J71" s="1" t="s">
        <v>411</v>
      </c>
      <c r="K71" s="3" t="s">
        <v>46</v>
      </c>
      <c r="M71" s="3">
        <v>68</v>
      </c>
      <c r="N71" s="1" t="s">
        <v>593</v>
      </c>
      <c r="O71" s="3" t="s">
        <v>11</v>
      </c>
      <c r="Q71" s="3">
        <v>68</v>
      </c>
      <c r="R71" s="1" t="s">
        <v>754</v>
      </c>
      <c r="S71" s="3" t="s">
        <v>46</v>
      </c>
    </row>
    <row r="72" spans="1:19">
      <c r="A72" s="3">
        <v>69</v>
      </c>
      <c r="B72" s="1" t="s">
        <v>42</v>
      </c>
      <c r="C72" s="8" t="s">
        <v>46</v>
      </c>
      <c r="E72" s="3">
        <v>69</v>
      </c>
      <c r="F72" s="1" t="s">
        <v>230</v>
      </c>
      <c r="G72" s="3" t="s">
        <v>12</v>
      </c>
      <c r="I72" s="3">
        <v>69</v>
      </c>
      <c r="J72" s="1" t="s">
        <v>412</v>
      </c>
      <c r="K72" s="3" t="s">
        <v>11</v>
      </c>
      <c r="M72" s="3">
        <v>69</v>
      </c>
      <c r="N72" s="1" t="s">
        <v>594</v>
      </c>
      <c r="O72" s="3" t="s">
        <v>12</v>
      </c>
      <c r="Q72" s="3">
        <v>69</v>
      </c>
      <c r="R72" s="1" t="s">
        <v>755</v>
      </c>
      <c r="S72" s="3" t="s">
        <v>46</v>
      </c>
    </row>
    <row r="73" spans="1:19">
      <c r="A73" s="3">
        <v>70</v>
      </c>
      <c r="B73" s="1" t="s">
        <v>112</v>
      </c>
      <c r="C73" s="8" t="s">
        <v>12</v>
      </c>
      <c r="E73" s="3">
        <v>70</v>
      </c>
      <c r="F73" s="1" t="s">
        <v>231</v>
      </c>
      <c r="G73" s="3" t="s">
        <v>12</v>
      </c>
      <c r="I73" s="3">
        <v>70</v>
      </c>
      <c r="J73" s="1" t="s">
        <v>413</v>
      </c>
      <c r="K73" s="3" t="s">
        <v>46</v>
      </c>
      <c r="M73" s="3">
        <v>70</v>
      </c>
      <c r="N73" s="1" t="s">
        <v>595</v>
      </c>
      <c r="O73" s="3" t="s">
        <v>46</v>
      </c>
      <c r="Q73" s="3">
        <v>70</v>
      </c>
      <c r="R73" s="1" t="s">
        <v>756</v>
      </c>
      <c r="S73" s="3"/>
    </row>
    <row r="74" spans="1:19">
      <c r="A74" s="3">
        <v>71</v>
      </c>
      <c r="B74" s="1" t="s">
        <v>113</v>
      </c>
      <c r="C74" s="8" t="s">
        <v>12</v>
      </c>
      <c r="E74" s="3">
        <v>71</v>
      </c>
      <c r="F74" s="1" t="s">
        <v>232</v>
      </c>
      <c r="G74" s="3" t="s">
        <v>12</v>
      </c>
      <c r="I74" s="3">
        <v>71</v>
      </c>
      <c r="J74" s="1" t="s">
        <v>414</v>
      </c>
      <c r="K74" s="3" t="s">
        <v>11</v>
      </c>
      <c r="M74" s="3">
        <v>71</v>
      </c>
      <c r="N74" s="1" t="s">
        <v>596</v>
      </c>
      <c r="O74" s="3" t="s">
        <v>12</v>
      </c>
      <c r="Q74" s="3">
        <v>71</v>
      </c>
      <c r="R74" s="1" t="s">
        <v>757</v>
      </c>
      <c r="S74" s="3" t="s">
        <v>46</v>
      </c>
    </row>
    <row r="75" spans="1:19">
      <c r="A75" s="3">
        <v>72</v>
      </c>
      <c r="B75" s="1" t="s">
        <v>43</v>
      </c>
      <c r="C75" s="8" t="s">
        <v>12</v>
      </c>
      <c r="E75" s="3">
        <v>72</v>
      </c>
      <c r="F75" s="1" t="s">
        <v>233</v>
      </c>
      <c r="G75" s="3" t="s">
        <v>12</v>
      </c>
      <c r="I75" s="3">
        <v>72</v>
      </c>
      <c r="J75" s="1" t="s">
        <v>415</v>
      </c>
      <c r="K75" s="3" t="s">
        <v>46</v>
      </c>
      <c r="M75" s="3">
        <v>72</v>
      </c>
      <c r="N75" s="1" t="s">
        <v>597</v>
      </c>
      <c r="O75" s="3" t="s">
        <v>46</v>
      </c>
      <c r="Q75" s="3">
        <v>72</v>
      </c>
      <c r="R75" s="1" t="s">
        <v>758</v>
      </c>
      <c r="S75" s="3" t="s">
        <v>11</v>
      </c>
    </row>
    <row r="76" spans="1:19">
      <c r="A76" s="3">
        <v>73</v>
      </c>
      <c r="B76" s="1" t="s">
        <v>44</v>
      </c>
      <c r="C76" s="8" t="s">
        <v>12</v>
      </c>
      <c r="E76" s="3">
        <v>73</v>
      </c>
      <c r="F76" s="1" t="s">
        <v>234</v>
      </c>
      <c r="G76" s="3" t="s">
        <v>12</v>
      </c>
      <c r="I76" s="3">
        <v>73</v>
      </c>
      <c r="J76" s="1" t="s">
        <v>416</v>
      </c>
      <c r="K76" s="3" t="s">
        <v>12</v>
      </c>
      <c r="M76" s="3">
        <v>73</v>
      </c>
      <c r="N76" s="1" t="s">
        <v>598</v>
      </c>
      <c r="O76" s="3" t="s">
        <v>46</v>
      </c>
      <c r="Q76" s="3">
        <v>73</v>
      </c>
      <c r="R76" s="1" t="s">
        <v>759</v>
      </c>
      <c r="S76" s="3" t="s">
        <v>12</v>
      </c>
    </row>
    <row r="77" spans="1:19">
      <c r="A77" s="3">
        <v>74</v>
      </c>
      <c r="B77" s="1" t="s">
        <v>45</v>
      </c>
      <c r="C77" s="8" t="s">
        <v>12</v>
      </c>
      <c r="E77" s="3">
        <v>74</v>
      </c>
      <c r="F77" s="1" t="s">
        <v>235</v>
      </c>
      <c r="G77" s="3" t="s">
        <v>46</v>
      </c>
      <c r="I77" s="3">
        <v>74</v>
      </c>
      <c r="J77" s="1" t="s">
        <v>417</v>
      </c>
      <c r="K77" s="3" t="s">
        <v>46</v>
      </c>
      <c r="M77" s="3">
        <v>74</v>
      </c>
      <c r="N77" s="1" t="s">
        <v>599</v>
      </c>
      <c r="O77" s="3" t="s">
        <v>46</v>
      </c>
      <c r="Q77" s="3">
        <v>74</v>
      </c>
      <c r="R77" s="1" t="s">
        <v>760</v>
      </c>
      <c r="S77" s="3" t="s">
        <v>12</v>
      </c>
    </row>
    <row r="78" spans="1:19">
      <c r="A78" s="3">
        <v>75</v>
      </c>
      <c r="B78" s="1" t="s">
        <v>114</v>
      </c>
      <c r="C78" s="8" t="s">
        <v>46</v>
      </c>
      <c r="E78" s="3">
        <v>75</v>
      </c>
      <c r="F78" s="1" t="s">
        <v>236</v>
      </c>
      <c r="G78" s="3" t="s">
        <v>12</v>
      </c>
      <c r="I78" s="3">
        <v>75</v>
      </c>
      <c r="J78" s="1" t="s">
        <v>418</v>
      </c>
      <c r="K78" s="3" t="s">
        <v>46</v>
      </c>
      <c r="M78" s="3">
        <v>75</v>
      </c>
      <c r="N78" s="1" t="s">
        <v>600</v>
      </c>
      <c r="O78" s="3" t="s">
        <v>12</v>
      </c>
      <c r="Q78" s="3">
        <v>75</v>
      </c>
      <c r="R78" s="1" t="s">
        <v>761</v>
      </c>
      <c r="S78" s="3" t="s">
        <v>12</v>
      </c>
    </row>
    <row r="79" spans="1:19">
      <c r="A79" s="3">
        <v>76</v>
      </c>
      <c r="B79" s="1" t="s">
        <v>115</v>
      </c>
      <c r="C79" s="8" t="s">
        <v>12</v>
      </c>
      <c r="E79" s="3">
        <v>76</v>
      </c>
      <c r="F79" s="1" t="s">
        <v>237</v>
      </c>
      <c r="G79" s="3" t="s">
        <v>12</v>
      </c>
      <c r="I79" s="3">
        <v>76</v>
      </c>
      <c r="J79" s="1" t="s">
        <v>419</v>
      </c>
      <c r="K79" s="3" t="s">
        <v>12</v>
      </c>
      <c r="M79" s="3">
        <v>76</v>
      </c>
      <c r="N79" s="1" t="s">
        <v>601</v>
      </c>
      <c r="O79" s="3" t="s">
        <v>46</v>
      </c>
      <c r="Q79" s="3">
        <v>76</v>
      </c>
      <c r="R79" s="1" t="s">
        <v>762</v>
      </c>
      <c r="S79" s="3" t="s">
        <v>12</v>
      </c>
    </row>
    <row r="80" spans="1:19">
      <c r="A80" s="3">
        <v>77</v>
      </c>
      <c r="B80" s="1" t="s">
        <v>116</v>
      </c>
      <c r="C80" s="8" t="s">
        <v>12</v>
      </c>
      <c r="E80" s="3">
        <v>77</v>
      </c>
      <c r="F80" s="1" t="s">
        <v>238</v>
      </c>
      <c r="G80" s="3" t="s">
        <v>46</v>
      </c>
      <c r="I80" s="3">
        <v>77</v>
      </c>
      <c r="J80" s="1" t="s">
        <v>420</v>
      </c>
      <c r="K80" s="3" t="s">
        <v>12</v>
      </c>
      <c r="M80" s="3">
        <v>77</v>
      </c>
      <c r="N80" s="1" t="s">
        <v>602</v>
      </c>
      <c r="O80" s="3" t="s">
        <v>11</v>
      </c>
      <c r="Q80" s="3">
        <v>77</v>
      </c>
      <c r="R80" s="1" t="s">
        <v>763</v>
      </c>
      <c r="S80" s="3" t="s">
        <v>12</v>
      </c>
    </row>
    <row r="81" spans="1:19">
      <c r="A81" s="3">
        <v>78</v>
      </c>
      <c r="B81" s="1" t="s">
        <v>117</v>
      </c>
      <c r="C81" s="8" t="s">
        <v>12</v>
      </c>
      <c r="E81" s="3">
        <v>78</v>
      </c>
      <c r="F81" s="1" t="s">
        <v>239</v>
      </c>
      <c r="G81" s="3" t="s">
        <v>12</v>
      </c>
      <c r="I81" s="3">
        <v>78</v>
      </c>
      <c r="J81" s="1" t="s">
        <v>421</v>
      </c>
      <c r="K81" s="3" t="s">
        <v>46</v>
      </c>
      <c r="M81" s="3">
        <v>78</v>
      </c>
      <c r="N81" s="1" t="s">
        <v>603</v>
      </c>
      <c r="O81" s="3" t="s">
        <v>12</v>
      </c>
      <c r="Q81" s="3">
        <v>78</v>
      </c>
      <c r="R81" s="1" t="s">
        <v>764</v>
      </c>
      <c r="S81" s="3" t="s">
        <v>12</v>
      </c>
    </row>
    <row r="82" spans="1:19">
      <c r="A82" s="3">
        <v>79</v>
      </c>
      <c r="B82" s="1" t="s">
        <v>118</v>
      </c>
      <c r="C82" s="8" t="s">
        <v>12</v>
      </c>
      <c r="E82" s="3">
        <v>79</v>
      </c>
      <c r="F82" s="1" t="s">
        <v>240</v>
      </c>
      <c r="G82" s="3" t="s">
        <v>12</v>
      </c>
      <c r="I82" s="3">
        <v>79</v>
      </c>
      <c r="J82" s="1" t="s">
        <v>422</v>
      </c>
      <c r="K82" s="3" t="s">
        <v>12</v>
      </c>
      <c r="M82" s="3">
        <v>79</v>
      </c>
      <c r="N82" s="1" t="s">
        <v>604</v>
      </c>
      <c r="O82" s="3" t="s">
        <v>12</v>
      </c>
      <c r="Q82" s="3">
        <v>79</v>
      </c>
      <c r="R82" s="1" t="s">
        <v>765</v>
      </c>
      <c r="S82" s="3" t="s">
        <v>12</v>
      </c>
    </row>
    <row r="83" spans="1:19">
      <c r="A83" s="3">
        <v>80</v>
      </c>
      <c r="B83" s="1" t="s">
        <v>16</v>
      </c>
      <c r="C83" s="8" t="s">
        <v>12</v>
      </c>
      <c r="E83" s="3">
        <v>80</v>
      </c>
      <c r="F83" s="1" t="s">
        <v>241</v>
      </c>
      <c r="G83" s="3" t="s">
        <v>12</v>
      </c>
      <c r="I83" s="3">
        <v>80</v>
      </c>
      <c r="J83" s="1" t="s">
        <v>423</v>
      </c>
      <c r="K83" s="3" t="s">
        <v>12</v>
      </c>
      <c r="M83" s="3">
        <v>80</v>
      </c>
      <c r="N83" s="1" t="s">
        <v>605</v>
      </c>
      <c r="O83" s="3" t="s">
        <v>46</v>
      </c>
      <c r="Q83" s="3">
        <v>80</v>
      </c>
      <c r="R83" s="1" t="s">
        <v>766</v>
      </c>
      <c r="S83" s="3" t="s">
        <v>12</v>
      </c>
    </row>
    <row r="84" spans="1:19">
      <c r="A84" s="3">
        <v>81</v>
      </c>
      <c r="B84" s="1" t="s">
        <v>119</v>
      </c>
      <c r="C84" s="8" t="s">
        <v>12</v>
      </c>
      <c r="E84" s="3">
        <v>81</v>
      </c>
      <c r="F84" s="1" t="s">
        <v>242</v>
      </c>
      <c r="G84" s="3" t="s">
        <v>12</v>
      </c>
      <c r="I84" s="3">
        <v>81</v>
      </c>
      <c r="J84" s="1" t="s">
        <v>424</v>
      </c>
      <c r="K84" s="3" t="s">
        <v>12</v>
      </c>
      <c r="M84" s="3">
        <v>81</v>
      </c>
      <c r="N84" s="1" t="s">
        <v>606</v>
      </c>
      <c r="O84" s="3" t="s">
        <v>46</v>
      </c>
      <c r="Q84" s="3">
        <v>81</v>
      </c>
      <c r="R84" s="1" t="s">
        <v>767</v>
      </c>
      <c r="S84" s="3" t="s">
        <v>12</v>
      </c>
    </row>
    <row r="85" spans="1:19">
      <c r="A85" s="3">
        <v>82</v>
      </c>
      <c r="B85" s="1" t="s">
        <v>120</v>
      </c>
      <c r="C85" s="8" t="s">
        <v>12</v>
      </c>
      <c r="E85" s="3">
        <v>82</v>
      </c>
      <c r="F85" s="1" t="s">
        <v>243</v>
      </c>
      <c r="G85" s="3" t="s">
        <v>46</v>
      </c>
      <c r="I85" s="3">
        <v>82</v>
      </c>
      <c r="J85" s="1" t="s">
        <v>425</v>
      </c>
      <c r="K85" s="3" t="s">
        <v>12</v>
      </c>
      <c r="M85" s="3">
        <v>82</v>
      </c>
      <c r="N85" s="1" t="s">
        <v>607</v>
      </c>
      <c r="O85" s="3" t="s">
        <v>12</v>
      </c>
      <c r="Q85" s="3">
        <v>82</v>
      </c>
      <c r="R85" s="1" t="s">
        <v>768</v>
      </c>
      <c r="S85" s="3" t="s">
        <v>12</v>
      </c>
    </row>
    <row r="86" spans="1:19">
      <c r="A86" s="3">
        <v>83</v>
      </c>
      <c r="B86" s="1" t="s">
        <v>121</v>
      </c>
      <c r="C86" s="8" t="s">
        <v>12</v>
      </c>
      <c r="E86" s="3">
        <v>83</v>
      </c>
      <c r="F86" s="1" t="s">
        <v>244</v>
      </c>
      <c r="G86" s="3" t="s">
        <v>12</v>
      </c>
      <c r="I86" s="3">
        <v>83</v>
      </c>
      <c r="J86" s="1" t="s">
        <v>426</v>
      </c>
      <c r="K86" s="3" t="s">
        <v>12</v>
      </c>
      <c r="M86" s="3">
        <v>83</v>
      </c>
      <c r="N86" s="1" t="s">
        <v>608</v>
      </c>
      <c r="O86" s="3" t="s">
        <v>46</v>
      </c>
      <c r="Q86" s="3">
        <v>83</v>
      </c>
      <c r="R86" s="1" t="s">
        <v>769</v>
      </c>
      <c r="S86" s="3" t="s">
        <v>12</v>
      </c>
    </row>
    <row r="87" spans="1:19">
      <c r="A87" s="3">
        <v>84</v>
      </c>
      <c r="B87" s="1" t="s">
        <v>122</v>
      </c>
      <c r="C87" s="8" t="s">
        <v>12</v>
      </c>
      <c r="E87" s="3">
        <v>84</v>
      </c>
      <c r="F87" s="1" t="s">
        <v>245</v>
      </c>
      <c r="G87" s="3" t="s">
        <v>46</v>
      </c>
      <c r="I87" s="3">
        <v>84</v>
      </c>
      <c r="J87" s="1" t="s">
        <v>427</v>
      </c>
      <c r="K87" s="3" t="s">
        <v>12</v>
      </c>
      <c r="M87" s="3">
        <v>84</v>
      </c>
      <c r="N87" s="1" t="s">
        <v>609</v>
      </c>
      <c r="O87" s="3" t="s">
        <v>46</v>
      </c>
      <c r="Q87" s="3">
        <v>84</v>
      </c>
      <c r="R87" s="1" t="s">
        <v>770</v>
      </c>
      <c r="S87" s="3" t="s">
        <v>12</v>
      </c>
    </row>
    <row r="88" spans="1:19">
      <c r="A88" s="3">
        <v>85</v>
      </c>
      <c r="B88" s="1" t="s">
        <v>123</v>
      </c>
      <c r="C88" s="8" t="s">
        <v>12</v>
      </c>
      <c r="E88" s="3">
        <v>85</v>
      </c>
      <c r="F88" s="1" t="s">
        <v>246</v>
      </c>
      <c r="G88" s="3" t="s">
        <v>12</v>
      </c>
      <c r="I88" s="3">
        <v>85</v>
      </c>
      <c r="J88" s="1" t="s">
        <v>428</v>
      </c>
      <c r="K88" s="3" t="s">
        <v>12</v>
      </c>
      <c r="M88" s="3">
        <v>85</v>
      </c>
      <c r="N88" s="1" t="s">
        <v>610</v>
      </c>
      <c r="O88" s="3" t="s">
        <v>46</v>
      </c>
      <c r="Q88" s="3">
        <v>85</v>
      </c>
      <c r="R88" s="1" t="s">
        <v>771</v>
      </c>
      <c r="S88" s="3" t="s">
        <v>46</v>
      </c>
    </row>
    <row r="89" spans="1:19">
      <c r="A89" s="3">
        <v>86</v>
      </c>
      <c r="B89" s="1" t="s">
        <v>124</v>
      </c>
      <c r="C89" s="8" t="s">
        <v>12</v>
      </c>
      <c r="E89" s="3">
        <v>86</v>
      </c>
      <c r="F89" s="1" t="s">
        <v>247</v>
      </c>
      <c r="G89" s="3" t="s">
        <v>46</v>
      </c>
      <c r="I89" s="3">
        <v>86</v>
      </c>
      <c r="J89" s="1" t="s">
        <v>429</v>
      </c>
      <c r="K89" s="3" t="s">
        <v>12</v>
      </c>
      <c r="M89" s="3">
        <v>86</v>
      </c>
      <c r="N89" s="1" t="s">
        <v>611</v>
      </c>
      <c r="O89" s="3" t="s">
        <v>12</v>
      </c>
      <c r="Q89" s="3">
        <v>86</v>
      </c>
      <c r="R89" s="1" t="s">
        <v>772</v>
      </c>
      <c r="S89" s="3" t="s">
        <v>46</v>
      </c>
    </row>
    <row r="90" spans="1:19">
      <c r="A90" s="3">
        <v>87</v>
      </c>
      <c r="B90" s="1" t="s">
        <v>125</v>
      </c>
      <c r="C90" s="8" t="s">
        <v>12</v>
      </c>
      <c r="E90" s="3">
        <v>87</v>
      </c>
      <c r="F90" s="1" t="s">
        <v>248</v>
      </c>
      <c r="G90" s="3" t="s">
        <v>12</v>
      </c>
      <c r="I90" s="3">
        <v>87</v>
      </c>
      <c r="J90" s="1" t="s">
        <v>430</v>
      </c>
      <c r="K90" s="3" t="s">
        <v>12</v>
      </c>
      <c r="M90" s="3">
        <v>87</v>
      </c>
      <c r="N90" s="1" t="s">
        <v>612</v>
      </c>
      <c r="O90" s="3" t="s">
        <v>46</v>
      </c>
      <c r="Q90" s="3">
        <v>87</v>
      </c>
      <c r="R90" s="1" t="s">
        <v>773</v>
      </c>
      <c r="S90" s="3" t="s">
        <v>12</v>
      </c>
    </row>
    <row r="91" spans="1:19">
      <c r="A91" s="3">
        <v>88</v>
      </c>
      <c r="B91" s="1" t="s">
        <v>126</v>
      </c>
      <c r="C91" s="8" t="s">
        <v>12</v>
      </c>
      <c r="E91" s="3">
        <v>88</v>
      </c>
      <c r="F91" s="1" t="s">
        <v>249</v>
      </c>
      <c r="G91" s="3" t="s">
        <v>12</v>
      </c>
      <c r="I91" s="3">
        <v>88</v>
      </c>
      <c r="J91" s="1" t="s">
        <v>431</v>
      </c>
      <c r="K91" s="3" t="s">
        <v>46</v>
      </c>
      <c r="M91" s="3">
        <v>88</v>
      </c>
      <c r="N91" s="1" t="s">
        <v>613</v>
      </c>
      <c r="O91" s="3" t="s">
        <v>46</v>
      </c>
      <c r="Q91" s="3">
        <v>88</v>
      </c>
      <c r="R91" s="1" t="s">
        <v>774</v>
      </c>
      <c r="S91" s="3" t="s">
        <v>12</v>
      </c>
    </row>
    <row r="92" spans="1:19">
      <c r="A92" s="3">
        <v>89</v>
      </c>
      <c r="B92" s="1" t="s">
        <v>17</v>
      </c>
      <c r="C92" s="8" t="s">
        <v>46</v>
      </c>
      <c r="E92" s="3">
        <v>89</v>
      </c>
      <c r="F92" s="1" t="s">
        <v>250</v>
      </c>
      <c r="G92" s="3" t="s">
        <v>46</v>
      </c>
      <c r="I92" s="3">
        <v>89</v>
      </c>
      <c r="J92" s="1" t="s">
        <v>432</v>
      </c>
      <c r="K92" s="3" t="s">
        <v>46</v>
      </c>
      <c r="M92" s="3">
        <v>89</v>
      </c>
      <c r="N92" s="1" t="s">
        <v>614</v>
      </c>
      <c r="O92" s="3" t="s">
        <v>12</v>
      </c>
      <c r="Q92" s="3">
        <v>89</v>
      </c>
      <c r="R92" s="1" t="s">
        <v>775</v>
      </c>
      <c r="S92" s="3" t="s">
        <v>12</v>
      </c>
    </row>
    <row r="93" spans="1:19">
      <c r="A93" s="3">
        <v>90</v>
      </c>
      <c r="B93" s="1" t="s">
        <v>18</v>
      </c>
      <c r="C93" s="8" t="s">
        <v>12</v>
      </c>
      <c r="E93" s="3">
        <v>90</v>
      </c>
      <c r="F93" s="1" t="s">
        <v>6</v>
      </c>
      <c r="G93" s="3" t="s">
        <v>11</v>
      </c>
      <c r="I93" s="3">
        <v>90</v>
      </c>
      <c r="J93" s="1" t="s">
        <v>433</v>
      </c>
      <c r="K93" s="3" t="s">
        <v>11</v>
      </c>
      <c r="M93" s="3">
        <v>90</v>
      </c>
      <c r="N93" s="1" t="s">
        <v>615</v>
      </c>
      <c r="O93" s="3" t="s">
        <v>12</v>
      </c>
      <c r="Q93" s="3">
        <v>90</v>
      </c>
      <c r="R93" s="1" t="s">
        <v>776</v>
      </c>
      <c r="S93" s="3" t="s">
        <v>12</v>
      </c>
    </row>
    <row r="94" spans="1:19">
      <c r="A94" s="3">
        <v>91</v>
      </c>
      <c r="B94" s="1" t="s">
        <v>127</v>
      </c>
      <c r="C94" s="8" t="s">
        <v>46</v>
      </c>
      <c r="E94" s="3">
        <v>91</v>
      </c>
      <c r="F94" s="1" t="s">
        <v>251</v>
      </c>
      <c r="G94" s="3" t="s">
        <v>12</v>
      </c>
      <c r="I94" s="3">
        <v>91</v>
      </c>
      <c r="J94" s="1" t="s">
        <v>434</v>
      </c>
      <c r="K94" s="3" t="s">
        <v>11</v>
      </c>
      <c r="M94" s="3">
        <v>91</v>
      </c>
      <c r="N94" s="1"/>
      <c r="O94" s="3"/>
      <c r="Q94" s="3">
        <v>91</v>
      </c>
      <c r="R94" s="1" t="s">
        <v>777</v>
      </c>
      <c r="S94" s="3" t="s">
        <v>12</v>
      </c>
    </row>
    <row r="95" spans="1:19">
      <c r="A95" s="3">
        <v>92</v>
      </c>
      <c r="B95" s="1" t="s">
        <v>37</v>
      </c>
      <c r="C95" s="8" t="s">
        <v>12</v>
      </c>
      <c r="E95" s="3">
        <v>92</v>
      </c>
      <c r="F95" s="1" t="s">
        <v>252</v>
      </c>
      <c r="G95" s="3" t="s">
        <v>12</v>
      </c>
      <c r="I95" s="3">
        <v>92</v>
      </c>
      <c r="J95" s="1" t="s">
        <v>435</v>
      </c>
      <c r="K95" s="3" t="s">
        <v>46</v>
      </c>
      <c r="M95" s="3">
        <v>92</v>
      </c>
      <c r="N95" s="1" t="s">
        <v>616</v>
      </c>
      <c r="O95" s="3" t="s">
        <v>46</v>
      </c>
      <c r="Q95" s="3">
        <v>92</v>
      </c>
      <c r="R95" s="1" t="s">
        <v>778</v>
      </c>
      <c r="S95" s="3" t="s">
        <v>12</v>
      </c>
    </row>
    <row r="96" spans="1:19">
      <c r="A96" s="3">
        <v>93</v>
      </c>
      <c r="B96" s="1" t="s">
        <v>128</v>
      </c>
      <c r="C96" s="8" t="s">
        <v>46</v>
      </c>
      <c r="E96" s="3">
        <v>93</v>
      </c>
      <c r="F96" s="1" t="s">
        <v>253</v>
      </c>
      <c r="G96" s="3" t="s">
        <v>46</v>
      </c>
      <c r="I96" s="3">
        <v>93</v>
      </c>
      <c r="J96" s="1" t="s">
        <v>436</v>
      </c>
      <c r="K96" s="3" t="s">
        <v>46</v>
      </c>
      <c r="M96" s="3">
        <v>93</v>
      </c>
      <c r="N96" s="1" t="s">
        <v>617</v>
      </c>
      <c r="O96" s="3" t="s">
        <v>12</v>
      </c>
      <c r="Q96" s="3">
        <v>93</v>
      </c>
      <c r="R96" s="1" t="s">
        <v>779</v>
      </c>
      <c r="S96" s="3" t="s">
        <v>12</v>
      </c>
    </row>
    <row r="97" spans="1:19">
      <c r="A97" s="3">
        <v>94</v>
      </c>
      <c r="B97" s="1" t="s">
        <v>129</v>
      </c>
      <c r="C97" s="8" t="s">
        <v>12</v>
      </c>
      <c r="E97" s="3">
        <v>94</v>
      </c>
      <c r="F97" s="1" t="s">
        <v>254</v>
      </c>
      <c r="G97" s="3" t="s">
        <v>12</v>
      </c>
      <c r="I97" s="3">
        <v>94</v>
      </c>
      <c r="J97" s="1" t="s">
        <v>437</v>
      </c>
      <c r="K97" s="3" t="s">
        <v>46</v>
      </c>
      <c r="M97" s="3">
        <v>94</v>
      </c>
      <c r="N97" s="1" t="s">
        <v>618</v>
      </c>
      <c r="O97" s="3" t="s">
        <v>12</v>
      </c>
      <c r="Q97" s="3">
        <v>94</v>
      </c>
      <c r="R97" s="1" t="s">
        <v>780</v>
      </c>
      <c r="S97" s="3" t="s">
        <v>12</v>
      </c>
    </row>
    <row r="98" spans="1:19">
      <c r="A98" s="3">
        <v>95</v>
      </c>
      <c r="B98" s="1" t="s">
        <v>130</v>
      </c>
      <c r="C98" s="8" t="s">
        <v>12</v>
      </c>
      <c r="E98" s="3">
        <v>95</v>
      </c>
      <c r="F98" s="1" t="s">
        <v>255</v>
      </c>
      <c r="G98" s="3" t="s">
        <v>46</v>
      </c>
      <c r="I98" s="3">
        <v>95</v>
      </c>
      <c r="J98" s="1" t="s">
        <v>438</v>
      </c>
      <c r="K98" s="3" t="s">
        <v>46</v>
      </c>
      <c r="M98" s="3">
        <v>95</v>
      </c>
      <c r="N98" s="1" t="s">
        <v>619</v>
      </c>
      <c r="O98" s="3" t="s">
        <v>12</v>
      </c>
      <c r="Q98" s="3">
        <v>95</v>
      </c>
      <c r="R98" s="1" t="s">
        <v>781</v>
      </c>
      <c r="S98" s="3" t="s">
        <v>12</v>
      </c>
    </row>
    <row r="99" spans="1:19">
      <c r="A99" s="3">
        <v>96</v>
      </c>
      <c r="B99" s="1" t="s">
        <v>131</v>
      </c>
      <c r="C99" s="8" t="s">
        <v>11</v>
      </c>
      <c r="E99" s="3">
        <v>96</v>
      </c>
      <c r="F99" s="1" t="s">
        <v>256</v>
      </c>
      <c r="G99" s="3" t="s">
        <v>46</v>
      </c>
      <c r="I99" s="3">
        <v>96</v>
      </c>
      <c r="J99" s="1" t="s">
        <v>439</v>
      </c>
      <c r="K99" s="3" t="s">
        <v>46</v>
      </c>
      <c r="M99" s="3">
        <v>96</v>
      </c>
      <c r="N99" s="1" t="s">
        <v>620</v>
      </c>
      <c r="O99" s="3" t="s">
        <v>12</v>
      </c>
      <c r="Q99" s="3">
        <v>96</v>
      </c>
      <c r="R99" s="1" t="s">
        <v>782</v>
      </c>
      <c r="S99" s="3" t="s">
        <v>12</v>
      </c>
    </row>
    <row r="100" spans="1:19">
      <c r="A100" s="3">
        <v>97</v>
      </c>
      <c r="B100" s="1" t="s">
        <v>132</v>
      </c>
      <c r="C100" s="8" t="s">
        <v>11</v>
      </c>
      <c r="E100" s="3">
        <v>97</v>
      </c>
      <c r="F100" s="1" t="s">
        <v>257</v>
      </c>
      <c r="G100" s="3" t="s">
        <v>46</v>
      </c>
      <c r="I100" s="3">
        <v>97</v>
      </c>
      <c r="J100" s="1" t="s">
        <v>440</v>
      </c>
      <c r="K100" s="3" t="s">
        <v>46</v>
      </c>
      <c r="M100" s="3">
        <v>97</v>
      </c>
      <c r="N100" s="1" t="s">
        <v>621</v>
      </c>
      <c r="O100" s="3" t="s">
        <v>46</v>
      </c>
      <c r="Q100" s="3">
        <v>97</v>
      </c>
      <c r="R100" s="1" t="s">
        <v>783</v>
      </c>
      <c r="S100" s="3" t="s">
        <v>12</v>
      </c>
    </row>
    <row r="101" spans="1:19">
      <c r="A101" s="3">
        <v>98</v>
      </c>
      <c r="B101" s="1" t="s">
        <v>133</v>
      </c>
      <c r="C101" s="8" t="s">
        <v>11</v>
      </c>
      <c r="E101" s="3">
        <v>98</v>
      </c>
      <c r="F101" s="1" t="s">
        <v>258</v>
      </c>
      <c r="G101" s="3" t="s">
        <v>46</v>
      </c>
      <c r="I101" s="3">
        <v>98</v>
      </c>
      <c r="J101" s="1" t="s">
        <v>441</v>
      </c>
      <c r="K101" s="3" t="s">
        <v>46</v>
      </c>
      <c r="M101" s="3">
        <v>98</v>
      </c>
      <c r="N101" s="1" t="s">
        <v>622</v>
      </c>
      <c r="O101" s="3" t="s">
        <v>46</v>
      </c>
      <c r="Q101" s="3">
        <v>98</v>
      </c>
      <c r="R101" s="1" t="s">
        <v>784</v>
      </c>
      <c r="S101" s="3" t="s">
        <v>12</v>
      </c>
    </row>
    <row r="102" spans="1:19">
      <c r="A102" s="3">
        <v>99</v>
      </c>
      <c r="B102" s="1" t="s">
        <v>134</v>
      </c>
      <c r="C102" s="8" t="s">
        <v>46</v>
      </c>
      <c r="E102" s="3">
        <v>99</v>
      </c>
      <c r="F102" s="1" t="s">
        <v>259</v>
      </c>
      <c r="G102" s="3" t="s">
        <v>12</v>
      </c>
      <c r="I102" s="3">
        <v>99</v>
      </c>
      <c r="J102" s="1" t="s">
        <v>442</v>
      </c>
      <c r="K102" s="3" t="s">
        <v>46</v>
      </c>
      <c r="M102" s="3">
        <v>99</v>
      </c>
      <c r="N102" s="1" t="s">
        <v>623</v>
      </c>
      <c r="O102" s="3" t="s">
        <v>46</v>
      </c>
      <c r="Q102" s="3">
        <v>99</v>
      </c>
      <c r="R102" s="1" t="s">
        <v>785</v>
      </c>
      <c r="S102" s="3" t="s">
        <v>12</v>
      </c>
    </row>
    <row r="103" spans="1:19">
      <c r="A103" s="3">
        <v>100</v>
      </c>
      <c r="B103" s="1" t="s">
        <v>19</v>
      </c>
      <c r="C103" s="8" t="s">
        <v>46</v>
      </c>
      <c r="E103" s="3">
        <v>100</v>
      </c>
      <c r="F103" s="1" t="s">
        <v>260</v>
      </c>
      <c r="G103" s="3" t="s">
        <v>46</v>
      </c>
      <c r="I103" s="3">
        <v>100</v>
      </c>
      <c r="J103" s="1" t="s">
        <v>443</v>
      </c>
      <c r="K103" s="3" t="s">
        <v>46</v>
      </c>
      <c r="M103" s="3">
        <v>100</v>
      </c>
      <c r="N103" s="1" t="s">
        <v>624</v>
      </c>
      <c r="O103" s="3" t="s">
        <v>12</v>
      </c>
      <c r="Q103" s="3">
        <v>100</v>
      </c>
      <c r="R103" s="1" t="s">
        <v>786</v>
      </c>
      <c r="S103" s="3" t="s">
        <v>46</v>
      </c>
    </row>
    <row r="104" spans="1:19">
      <c r="A104" s="3">
        <v>101</v>
      </c>
      <c r="B104" s="1" t="s">
        <v>135</v>
      </c>
      <c r="C104" s="8" t="s">
        <v>11</v>
      </c>
      <c r="E104" s="3">
        <v>101</v>
      </c>
      <c r="F104" s="1" t="s">
        <v>261</v>
      </c>
      <c r="G104" s="3" t="s">
        <v>46</v>
      </c>
      <c r="I104" s="3">
        <v>101</v>
      </c>
      <c r="J104" s="1" t="s">
        <v>444</v>
      </c>
      <c r="K104" s="3" t="s">
        <v>46</v>
      </c>
      <c r="M104" s="3">
        <v>101</v>
      </c>
      <c r="N104" s="1" t="s">
        <v>625</v>
      </c>
      <c r="O104" s="3" t="s">
        <v>46</v>
      </c>
      <c r="Q104" s="3">
        <v>101</v>
      </c>
      <c r="R104" s="1" t="s">
        <v>787</v>
      </c>
      <c r="S104" s="3" t="s">
        <v>12</v>
      </c>
    </row>
    <row r="105" spans="1:19">
      <c r="A105" s="3">
        <v>102</v>
      </c>
      <c r="B105" s="1" t="s">
        <v>20</v>
      </c>
      <c r="C105" s="8"/>
      <c r="E105" s="3">
        <v>102</v>
      </c>
      <c r="F105" s="1" t="s">
        <v>262</v>
      </c>
      <c r="G105" s="3" t="s">
        <v>46</v>
      </c>
      <c r="I105" s="3">
        <v>102</v>
      </c>
      <c r="J105" s="1" t="s">
        <v>445</v>
      </c>
      <c r="K105" s="3" t="s">
        <v>46</v>
      </c>
      <c r="M105" s="3">
        <v>102</v>
      </c>
      <c r="N105" s="1" t="s">
        <v>626</v>
      </c>
      <c r="O105" s="3" t="s">
        <v>46</v>
      </c>
      <c r="Q105" s="3">
        <v>102</v>
      </c>
      <c r="R105" s="1" t="s">
        <v>788</v>
      </c>
      <c r="S105" s="3" t="s">
        <v>12</v>
      </c>
    </row>
    <row r="106" spans="1:19">
      <c r="A106" s="3">
        <v>103</v>
      </c>
      <c r="B106" s="1" t="s">
        <v>136</v>
      </c>
      <c r="C106" s="8" t="s">
        <v>46</v>
      </c>
      <c r="E106" s="3">
        <v>103</v>
      </c>
      <c r="F106" s="1" t="s">
        <v>263</v>
      </c>
      <c r="G106" s="3" t="s">
        <v>46</v>
      </c>
      <c r="I106" s="3">
        <v>103</v>
      </c>
      <c r="J106" s="1" t="s">
        <v>446</v>
      </c>
      <c r="K106" s="3" t="s">
        <v>46</v>
      </c>
      <c r="M106" s="3">
        <v>103</v>
      </c>
      <c r="N106" s="1" t="s">
        <v>627</v>
      </c>
      <c r="O106" s="3" t="s">
        <v>46</v>
      </c>
      <c r="Q106" s="3">
        <v>103</v>
      </c>
      <c r="R106" s="1" t="s">
        <v>789</v>
      </c>
      <c r="S106" s="3" t="s">
        <v>12</v>
      </c>
    </row>
    <row r="107" spans="1:19">
      <c r="A107" s="3">
        <v>104</v>
      </c>
      <c r="B107" s="1" t="s">
        <v>137</v>
      </c>
      <c r="C107" s="8" t="s">
        <v>46</v>
      </c>
      <c r="E107" s="3">
        <v>104</v>
      </c>
      <c r="F107" s="1" t="s">
        <v>264</v>
      </c>
      <c r="G107" s="3" t="s">
        <v>12</v>
      </c>
      <c r="I107" s="3">
        <v>104</v>
      </c>
      <c r="J107" s="1" t="s">
        <v>447</v>
      </c>
      <c r="K107" s="3" t="s">
        <v>11</v>
      </c>
      <c r="M107" s="3">
        <v>104</v>
      </c>
      <c r="N107" s="1" t="s">
        <v>628</v>
      </c>
      <c r="O107" s="3" t="s">
        <v>12</v>
      </c>
      <c r="Q107" s="3">
        <v>104</v>
      </c>
      <c r="R107" s="1" t="s">
        <v>790</v>
      </c>
      <c r="S107" s="3" t="s">
        <v>12</v>
      </c>
    </row>
    <row r="108" spans="1:19">
      <c r="A108" s="3">
        <v>105</v>
      </c>
      <c r="B108" s="1" t="s">
        <v>138</v>
      </c>
      <c r="C108" s="8" t="s">
        <v>46</v>
      </c>
      <c r="E108" s="3">
        <v>105</v>
      </c>
      <c r="F108" s="1" t="s">
        <v>265</v>
      </c>
      <c r="G108" s="3" t="s">
        <v>12</v>
      </c>
      <c r="I108" s="3">
        <v>105</v>
      </c>
      <c r="J108" s="1" t="s">
        <v>448</v>
      </c>
      <c r="K108" s="3" t="s">
        <v>46</v>
      </c>
      <c r="M108" s="3">
        <v>105</v>
      </c>
      <c r="N108" s="1" t="s">
        <v>629</v>
      </c>
      <c r="O108" s="3" t="s">
        <v>46</v>
      </c>
      <c r="Q108" s="3">
        <v>105</v>
      </c>
      <c r="R108" s="1" t="s">
        <v>791</v>
      </c>
      <c r="S108" s="3" t="s">
        <v>46</v>
      </c>
    </row>
    <row r="109" spans="1:19">
      <c r="A109" s="3">
        <v>106</v>
      </c>
      <c r="B109" s="1" t="s">
        <v>21</v>
      </c>
      <c r="C109" s="8" t="s">
        <v>46</v>
      </c>
      <c r="E109" s="3">
        <v>106</v>
      </c>
      <c r="F109" s="1" t="s">
        <v>266</v>
      </c>
      <c r="G109" s="3" t="s">
        <v>11</v>
      </c>
      <c r="I109" s="3">
        <v>106</v>
      </c>
      <c r="J109" s="1" t="s">
        <v>449</v>
      </c>
      <c r="K109" s="3" t="s">
        <v>11</v>
      </c>
      <c r="M109" s="3">
        <v>106</v>
      </c>
      <c r="N109" s="1" t="s">
        <v>630</v>
      </c>
      <c r="O109" s="3" t="s">
        <v>46</v>
      </c>
      <c r="Q109" s="3">
        <v>106</v>
      </c>
      <c r="R109" s="1" t="s">
        <v>792</v>
      </c>
      <c r="S109" s="3" t="s">
        <v>46</v>
      </c>
    </row>
    <row r="110" spans="1:19">
      <c r="A110" s="3">
        <v>107</v>
      </c>
      <c r="B110" s="1" t="s">
        <v>139</v>
      </c>
      <c r="C110" s="8" t="s">
        <v>11</v>
      </c>
      <c r="E110" s="3">
        <v>107</v>
      </c>
      <c r="F110" s="1" t="s">
        <v>267</v>
      </c>
      <c r="G110" s="3" t="s">
        <v>46</v>
      </c>
      <c r="I110" s="3">
        <v>107</v>
      </c>
      <c r="J110" s="1" t="s">
        <v>450</v>
      </c>
      <c r="K110" s="3" t="s">
        <v>46</v>
      </c>
      <c r="M110" s="3">
        <v>107</v>
      </c>
      <c r="N110" s="1" t="s">
        <v>631</v>
      </c>
      <c r="O110" s="3" t="s">
        <v>46</v>
      </c>
      <c r="Q110" s="3">
        <v>107</v>
      </c>
      <c r="R110" s="1" t="s">
        <v>793</v>
      </c>
      <c r="S110" s="3" t="s">
        <v>12</v>
      </c>
    </row>
    <row r="111" spans="1:19">
      <c r="A111" s="3">
        <v>108</v>
      </c>
      <c r="B111" s="1" t="s">
        <v>22</v>
      </c>
      <c r="C111" s="8" t="s">
        <v>46</v>
      </c>
      <c r="E111" s="3">
        <v>108</v>
      </c>
      <c r="F111" s="1" t="s">
        <v>268</v>
      </c>
      <c r="G111" s="3" t="s">
        <v>12</v>
      </c>
      <c r="I111" s="3">
        <v>108</v>
      </c>
      <c r="J111" s="1" t="s">
        <v>451</v>
      </c>
      <c r="K111" s="3" t="s">
        <v>46</v>
      </c>
      <c r="M111" s="3">
        <v>108</v>
      </c>
      <c r="N111" s="1" t="s">
        <v>632</v>
      </c>
      <c r="O111" s="3" t="s">
        <v>12</v>
      </c>
      <c r="Q111" s="3">
        <v>108</v>
      </c>
      <c r="R111" s="1" t="s">
        <v>794</v>
      </c>
      <c r="S111" s="3" t="s">
        <v>12</v>
      </c>
    </row>
    <row r="112" spans="1:19">
      <c r="A112" s="3">
        <v>109</v>
      </c>
      <c r="B112" s="1" t="s">
        <v>140</v>
      </c>
      <c r="C112" s="8" t="s">
        <v>46</v>
      </c>
      <c r="E112" s="3">
        <v>109</v>
      </c>
      <c r="F112" s="1" t="s">
        <v>269</v>
      </c>
      <c r="G112" s="3" t="s">
        <v>12</v>
      </c>
      <c r="I112" s="3">
        <v>109</v>
      </c>
      <c r="J112" s="1" t="s">
        <v>452</v>
      </c>
      <c r="K112" s="3" t="s">
        <v>46</v>
      </c>
      <c r="M112" s="3">
        <v>109</v>
      </c>
      <c r="N112" s="1" t="s">
        <v>633</v>
      </c>
      <c r="O112" s="3" t="s">
        <v>46</v>
      </c>
      <c r="Q112" s="3">
        <v>109</v>
      </c>
      <c r="R112" s="1" t="s">
        <v>795</v>
      </c>
      <c r="S112" s="3" t="s">
        <v>12</v>
      </c>
    </row>
    <row r="113" spans="1:19">
      <c r="A113" s="3">
        <v>110</v>
      </c>
      <c r="B113" s="1" t="s">
        <v>38</v>
      </c>
      <c r="C113" s="8" t="s">
        <v>11</v>
      </c>
      <c r="E113" s="3">
        <v>110</v>
      </c>
      <c r="F113" s="1" t="s">
        <v>270</v>
      </c>
      <c r="G113" s="3" t="s">
        <v>46</v>
      </c>
      <c r="I113" s="3">
        <v>110</v>
      </c>
      <c r="J113" s="1" t="s">
        <v>453</v>
      </c>
      <c r="K113" s="3" t="s">
        <v>12</v>
      </c>
      <c r="M113" s="3">
        <v>110</v>
      </c>
      <c r="N113" s="1" t="s">
        <v>634</v>
      </c>
      <c r="O113" s="3" t="s">
        <v>12</v>
      </c>
      <c r="Q113" s="3">
        <v>110</v>
      </c>
      <c r="R113" s="1" t="s">
        <v>796</v>
      </c>
      <c r="S113" s="3" t="s">
        <v>46</v>
      </c>
    </row>
    <row r="114" spans="1:19">
      <c r="A114" s="3">
        <v>111</v>
      </c>
      <c r="B114" s="1" t="s">
        <v>23</v>
      </c>
      <c r="C114" s="8" t="s">
        <v>46</v>
      </c>
      <c r="E114" s="3">
        <v>111</v>
      </c>
      <c r="F114" s="1" t="s">
        <v>271</v>
      </c>
      <c r="G114" s="3" t="s">
        <v>12</v>
      </c>
      <c r="I114" s="3">
        <v>111</v>
      </c>
      <c r="J114" s="1" t="s">
        <v>454</v>
      </c>
      <c r="K114" s="3" t="s">
        <v>46</v>
      </c>
      <c r="M114" s="3">
        <v>111</v>
      </c>
      <c r="N114" s="1" t="s">
        <v>635</v>
      </c>
      <c r="O114" s="3" t="s">
        <v>46</v>
      </c>
      <c r="Q114" s="3">
        <v>111</v>
      </c>
      <c r="R114" s="1" t="s">
        <v>797</v>
      </c>
      <c r="S114" s="3" t="s">
        <v>46</v>
      </c>
    </row>
    <row r="115" spans="1:19">
      <c r="A115" s="3">
        <v>112</v>
      </c>
      <c r="B115" s="1" t="s">
        <v>141</v>
      </c>
      <c r="C115" s="8" t="s">
        <v>46</v>
      </c>
      <c r="E115" s="3">
        <v>112</v>
      </c>
      <c r="F115" s="1" t="s">
        <v>272</v>
      </c>
      <c r="G115" s="3" t="s">
        <v>46</v>
      </c>
      <c r="I115" s="3">
        <v>112</v>
      </c>
      <c r="J115" s="1" t="s">
        <v>7</v>
      </c>
      <c r="K115" s="3" t="s">
        <v>46</v>
      </c>
      <c r="M115" s="3">
        <v>112</v>
      </c>
      <c r="N115" s="1" t="s">
        <v>636</v>
      </c>
      <c r="O115" s="3"/>
      <c r="Q115" s="3">
        <v>112</v>
      </c>
      <c r="R115" s="1" t="s">
        <v>798</v>
      </c>
      <c r="S115" s="3" t="s">
        <v>12</v>
      </c>
    </row>
    <row r="116" spans="1:19">
      <c r="A116" s="3">
        <v>113</v>
      </c>
      <c r="B116" s="1" t="s">
        <v>142</v>
      </c>
      <c r="C116" s="8" t="s">
        <v>46</v>
      </c>
      <c r="E116" s="3">
        <v>113</v>
      </c>
      <c r="F116" s="1" t="s">
        <v>273</v>
      </c>
      <c r="G116" s="3" t="s">
        <v>12</v>
      </c>
      <c r="I116" s="3">
        <v>113</v>
      </c>
      <c r="J116" s="1" t="s">
        <v>8</v>
      </c>
      <c r="K116" s="3" t="s">
        <v>12</v>
      </c>
      <c r="M116" s="3">
        <v>113</v>
      </c>
      <c r="N116" s="1" t="s">
        <v>637</v>
      </c>
      <c r="O116" s="3" t="s">
        <v>46</v>
      </c>
      <c r="Q116" s="3">
        <v>113</v>
      </c>
      <c r="R116" s="1" t="s">
        <v>799</v>
      </c>
      <c r="S116" s="3" t="s">
        <v>12</v>
      </c>
    </row>
    <row r="117" spans="1:19">
      <c r="A117" s="3">
        <v>114</v>
      </c>
      <c r="B117" s="1" t="s">
        <v>143</v>
      </c>
      <c r="C117" s="8" t="s">
        <v>46</v>
      </c>
      <c r="E117" s="3">
        <v>114</v>
      </c>
      <c r="F117" s="1" t="s">
        <v>274</v>
      </c>
      <c r="G117" s="3" t="s">
        <v>12</v>
      </c>
      <c r="I117" s="3">
        <v>114</v>
      </c>
      <c r="J117" s="1" t="s">
        <v>455</v>
      </c>
      <c r="K117" s="3" t="s">
        <v>12</v>
      </c>
      <c r="M117" s="3">
        <v>114</v>
      </c>
      <c r="N117" s="1" t="s">
        <v>638</v>
      </c>
      <c r="O117" s="3" t="s">
        <v>46</v>
      </c>
      <c r="Q117" s="3">
        <v>114</v>
      </c>
      <c r="R117" s="1" t="s">
        <v>800</v>
      </c>
      <c r="S117" s="3" t="s">
        <v>12</v>
      </c>
    </row>
    <row r="118" spans="1:19">
      <c r="A118" s="3">
        <v>115</v>
      </c>
      <c r="B118" s="1" t="s">
        <v>24</v>
      </c>
      <c r="C118" s="8" t="s">
        <v>46</v>
      </c>
      <c r="E118" s="3">
        <v>115</v>
      </c>
      <c r="F118" s="1" t="s">
        <v>275</v>
      </c>
      <c r="G118" s="3" t="s">
        <v>46</v>
      </c>
      <c r="I118" s="3">
        <v>115</v>
      </c>
      <c r="J118" s="1" t="s">
        <v>456</v>
      </c>
      <c r="K118" s="3" t="s">
        <v>46</v>
      </c>
      <c r="M118" s="3">
        <v>115</v>
      </c>
      <c r="N118" s="1" t="s">
        <v>639</v>
      </c>
      <c r="O118" s="3" t="s">
        <v>46</v>
      </c>
      <c r="Q118" s="3">
        <v>115</v>
      </c>
      <c r="R118" s="1" t="s">
        <v>801</v>
      </c>
      <c r="S118" s="3" t="s">
        <v>12</v>
      </c>
    </row>
    <row r="119" spans="1:19">
      <c r="A119" s="3">
        <v>116</v>
      </c>
      <c r="B119" s="1" t="s">
        <v>144</v>
      </c>
      <c r="C119" s="8" t="s">
        <v>46</v>
      </c>
      <c r="E119" s="3">
        <v>116</v>
      </c>
      <c r="F119" s="1" t="s">
        <v>276</v>
      </c>
      <c r="G119" s="3" t="s">
        <v>12</v>
      </c>
      <c r="I119" s="3">
        <v>116</v>
      </c>
      <c r="J119" s="1" t="s">
        <v>457</v>
      </c>
      <c r="K119" s="3" t="s">
        <v>12</v>
      </c>
      <c r="M119" s="3">
        <v>116</v>
      </c>
      <c r="N119" s="1" t="s">
        <v>640</v>
      </c>
      <c r="O119" s="3" t="s">
        <v>12</v>
      </c>
      <c r="Q119" s="3">
        <v>116</v>
      </c>
      <c r="R119" s="1" t="s">
        <v>802</v>
      </c>
      <c r="S119" s="3" t="s">
        <v>12</v>
      </c>
    </row>
    <row r="120" spans="1:19">
      <c r="A120" s="3">
        <v>117</v>
      </c>
      <c r="B120" s="1" t="s">
        <v>25</v>
      </c>
      <c r="C120" s="8" t="s">
        <v>46</v>
      </c>
      <c r="E120" s="3">
        <v>117</v>
      </c>
      <c r="F120" s="1" t="s">
        <v>277</v>
      </c>
      <c r="G120" s="3" t="s">
        <v>11</v>
      </c>
      <c r="I120" s="3">
        <v>117</v>
      </c>
      <c r="J120" s="1" t="s">
        <v>458</v>
      </c>
      <c r="K120" s="3" t="s">
        <v>12</v>
      </c>
      <c r="M120" s="3">
        <v>117</v>
      </c>
      <c r="N120" s="1" t="s">
        <v>641</v>
      </c>
      <c r="O120" s="3" t="s">
        <v>46</v>
      </c>
      <c r="Q120" s="3">
        <v>117</v>
      </c>
      <c r="R120" s="1" t="s">
        <v>803</v>
      </c>
      <c r="S120" s="3" t="s">
        <v>12</v>
      </c>
    </row>
    <row r="121" spans="1:19">
      <c r="A121" s="3">
        <v>118</v>
      </c>
      <c r="B121" s="1" t="s">
        <v>26</v>
      </c>
      <c r="C121" s="8" t="s">
        <v>46</v>
      </c>
      <c r="E121" s="3">
        <v>118</v>
      </c>
      <c r="F121" s="1" t="s">
        <v>278</v>
      </c>
      <c r="G121" s="3" t="s">
        <v>46</v>
      </c>
      <c r="I121" s="3">
        <v>118</v>
      </c>
      <c r="J121" s="1" t="s">
        <v>459</v>
      </c>
      <c r="K121" s="3" t="s">
        <v>46</v>
      </c>
      <c r="M121" s="3">
        <v>118</v>
      </c>
      <c r="N121" s="1" t="s">
        <v>642</v>
      </c>
      <c r="O121" s="3" t="s">
        <v>11</v>
      </c>
      <c r="Q121" s="3">
        <v>118</v>
      </c>
      <c r="R121" s="1" t="s">
        <v>804</v>
      </c>
      <c r="S121" s="3" t="s">
        <v>12</v>
      </c>
    </row>
    <row r="122" spans="1:19">
      <c r="A122" s="3">
        <v>119</v>
      </c>
      <c r="B122" s="1" t="s">
        <v>27</v>
      </c>
      <c r="C122" s="8" t="s">
        <v>46</v>
      </c>
      <c r="E122" s="3">
        <v>119</v>
      </c>
      <c r="F122" s="1" t="s">
        <v>279</v>
      </c>
      <c r="G122" s="3" t="s">
        <v>46</v>
      </c>
      <c r="I122" s="3">
        <v>119</v>
      </c>
      <c r="J122" s="1" t="s">
        <v>460</v>
      </c>
      <c r="K122" s="3" t="s">
        <v>12</v>
      </c>
      <c r="M122" s="3">
        <v>119</v>
      </c>
      <c r="N122" s="1" t="s">
        <v>643</v>
      </c>
      <c r="O122" s="3" t="s">
        <v>46</v>
      </c>
      <c r="Q122" s="3">
        <v>119</v>
      </c>
      <c r="R122" s="1" t="s">
        <v>805</v>
      </c>
      <c r="S122" s="3" t="s">
        <v>12</v>
      </c>
    </row>
    <row r="123" spans="1:19">
      <c r="A123" s="3">
        <v>120</v>
      </c>
      <c r="B123" s="1" t="s">
        <v>28</v>
      </c>
      <c r="C123" s="8" t="s">
        <v>46</v>
      </c>
      <c r="E123" s="3">
        <v>120</v>
      </c>
      <c r="F123" s="1" t="s">
        <v>280</v>
      </c>
      <c r="G123" s="3" t="s">
        <v>12</v>
      </c>
      <c r="I123" s="3">
        <v>120</v>
      </c>
      <c r="J123" s="1" t="s">
        <v>461</v>
      </c>
      <c r="K123" s="3" t="s">
        <v>46</v>
      </c>
      <c r="M123" s="3">
        <v>120</v>
      </c>
      <c r="N123" s="1" t="s">
        <v>644</v>
      </c>
      <c r="O123" s="3" t="s">
        <v>46</v>
      </c>
      <c r="Q123" s="3">
        <v>120</v>
      </c>
      <c r="R123" s="1" t="s">
        <v>806</v>
      </c>
      <c r="S123" s="3" t="s">
        <v>12</v>
      </c>
    </row>
    <row r="124" spans="1:19">
      <c r="A124" s="3">
        <v>121</v>
      </c>
      <c r="B124" s="1" t="s">
        <v>145</v>
      </c>
      <c r="C124" s="8" t="s">
        <v>12</v>
      </c>
      <c r="E124" s="3">
        <v>121</v>
      </c>
      <c r="F124" s="1" t="s">
        <v>281</v>
      </c>
      <c r="G124" s="3" t="s">
        <v>11</v>
      </c>
      <c r="I124" s="3">
        <v>121</v>
      </c>
      <c r="J124" s="1" t="s">
        <v>462</v>
      </c>
      <c r="K124" s="3" t="s">
        <v>46</v>
      </c>
      <c r="M124" s="3">
        <v>121</v>
      </c>
      <c r="N124" s="1" t="s">
        <v>645</v>
      </c>
      <c r="O124" s="3" t="s">
        <v>11</v>
      </c>
      <c r="Q124" s="3">
        <v>121</v>
      </c>
      <c r="R124" s="1" t="s">
        <v>807</v>
      </c>
      <c r="S124" s="3" t="s">
        <v>46</v>
      </c>
    </row>
    <row r="125" spans="1:19">
      <c r="A125" s="3">
        <v>122</v>
      </c>
      <c r="B125" s="1" t="s">
        <v>146</v>
      </c>
      <c r="C125" s="8" t="s">
        <v>12</v>
      </c>
      <c r="E125" s="3">
        <v>122</v>
      </c>
      <c r="F125" s="1" t="s">
        <v>282</v>
      </c>
      <c r="G125" s="3" t="s">
        <v>11</v>
      </c>
      <c r="I125" s="3">
        <v>122</v>
      </c>
      <c r="J125" s="1" t="s">
        <v>463</v>
      </c>
      <c r="K125" s="3" t="s">
        <v>12</v>
      </c>
      <c r="M125" s="3">
        <v>122</v>
      </c>
      <c r="N125" s="1" t="s">
        <v>646</v>
      </c>
      <c r="O125" s="3" t="s">
        <v>12</v>
      </c>
      <c r="Q125" s="3">
        <v>122</v>
      </c>
      <c r="R125" s="1" t="s">
        <v>808</v>
      </c>
      <c r="S125" s="3" t="s">
        <v>46</v>
      </c>
    </row>
    <row r="126" spans="1:19">
      <c r="A126" s="3">
        <v>123</v>
      </c>
      <c r="B126" s="1" t="s">
        <v>147</v>
      </c>
      <c r="C126" s="8" t="s">
        <v>12</v>
      </c>
      <c r="E126" s="3">
        <v>123</v>
      </c>
      <c r="F126" s="1" t="s">
        <v>283</v>
      </c>
      <c r="G126" s="3" t="s">
        <v>12</v>
      </c>
      <c r="I126" s="3">
        <v>123</v>
      </c>
      <c r="J126" s="1" t="s">
        <v>464</v>
      </c>
      <c r="K126" s="3" t="s">
        <v>46</v>
      </c>
      <c r="M126" s="3">
        <v>123</v>
      </c>
      <c r="N126" s="1" t="s">
        <v>647</v>
      </c>
      <c r="O126" s="3"/>
      <c r="Q126" s="3">
        <v>123</v>
      </c>
      <c r="R126" s="1" t="s">
        <v>809</v>
      </c>
      <c r="S126" s="3" t="s">
        <v>12</v>
      </c>
    </row>
    <row r="127" spans="1:19">
      <c r="A127" s="3">
        <v>124</v>
      </c>
      <c r="B127" s="1" t="s">
        <v>148</v>
      </c>
      <c r="C127" s="8" t="s">
        <v>12</v>
      </c>
      <c r="E127" s="3">
        <v>124</v>
      </c>
      <c r="F127" s="1" t="s">
        <v>284</v>
      </c>
      <c r="G127" s="3" t="s">
        <v>46</v>
      </c>
      <c r="I127" s="3">
        <v>124</v>
      </c>
      <c r="J127" s="1" t="s">
        <v>465</v>
      </c>
      <c r="K127" s="3" t="s">
        <v>12</v>
      </c>
      <c r="M127" s="3">
        <v>124</v>
      </c>
      <c r="N127" s="1" t="s">
        <v>648</v>
      </c>
      <c r="O127" s="3" t="s">
        <v>46</v>
      </c>
      <c r="Q127" s="3">
        <v>124</v>
      </c>
      <c r="R127" s="1" t="s">
        <v>810</v>
      </c>
      <c r="S127" s="3" t="s">
        <v>12</v>
      </c>
    </row>
    <row r="128" spans="1:19">
      <c r="A128" s="3">
        <v>125</v>
      </c>
      <c r="B128" s="1" t="s">
        <v>29</v>
      </c>
      <c r="C128" s="8"/>
      <c r="E128" s="3">
        <v>125</v>
      </c>
      <c r="F128" s="1" t="s">
        <v>285</v>
      </c>
      <c r="G128" s="3"/>
      <c r="I128" s="3">
        <v>125</v>
      </c>
      <c r="J128" s="1" t="s">
        <v>466</v>
      </c>
      <c r="K128" s="3" t="s">
        <v>12</v>
      </c>
      <c r="M128" s="3">
        <v>125</v>
      </c>
      <c r="N128" s="1" t="s">
        <v>649</v>
      </c>
      <c r="O128" s="3" t="s">
        <v>12</v>
      </c>
      <c r="Q128" s="3">
        <v>125</v>
      </c>
      <c r="R128" s="1" t="s">
        <v>811</v>
      </c>
      <c r="S128" s="3" t="s">
        <v>12</v>
      </c>
    </row>
    <row r="129" spans="1:19">
      <c r="A129" s="3">
        <v>126</v>
      </c>
      <c r="B129" s="1" t="s">
        <v>30</v>
      </c>
      <c r="C129" s="8" t="s">
        <v>12</v>
      </c>
      <c r="E129" s="3">
        <v>126</v>
      </c>
      <c r="F129" s="1" t="s">
        <v>286</v>
      </c>
      <c r="G129" s="3"/>
      <c r="I129" s="3">
        <v>126</v>
      </c>
      <c r="J129" s="1" t="s">
        <v>467</v>
      </c>
      <c r="K129" s="3" t="s">
        <v>12</v>
      </c>
      <c r="M129" s="3">
        <v>126</v>
      </c>
      <c r="N129" s="1" t="s">
        <v>650</v>
      </c>
      <c r="O129" s="3" t="s">
        <v>12</v>
      </c>
      <c r="Q129" s="3">
        <v>126</v>
      </c>
      <c r="R129" s="1" t="s">
        <v>812</v>
      </c>
      <c r="S129" s="3" t="s">
        <v>12</v>
      </c>
    </row>
    <row r="130" spans="1:19">
      <c r="A130" s="3">
        <v>127</v>
      </c>
      <c r="B130" s="1" t="s">
        <v>39</v>
      </c>
      <c r="C130" s="8" t="s">
        <v>46</v>
      </c>
      <c r="E130" s="3">
        <v>127</v>
      </c>
      <c r="F130" s="1" t="s">
        <v>287</v>
      </c>
      <c r="G130" s="3" t="s">
        <v>12</v>
      </c>
      <c r="I130" s="3">
        <v>127</v>
      </c>
      <c r="J130" s="1" t="s">
        <v>468</v>
      </c>
      <c r="K130" s="3" t="s">
        <v>12</v>
      </c>
      <c r="M130" s="3">
        <v>127</v>
      </c>
      <c r="N130" s="1" t="s">
        <v>651</v>
      </c>
      <c r="O130" s="3" t="s">
        <v>46</v>
      </c>
      <c r="Q130" s="3">
        <v>127</v>
      </c>
      <c r="R130" s="1" t="s">
        <v>813</v>
      </c>
      <c r="S130" s="3" t="s">
        <v>12</v>
      </c>
    </row>
    <row r="131" spans="1:19">
      <c r="A131" s="3">
        <v>128</v>
      </c>
      <c r="B131" s="1" t="s">
        <v>149</v>
      </c>
      <c r="C131" s="8" t="s">
        <v>46</v>
      </c>
      <c r="E131" s="3">
        <v>128</v>
      </c>
      <c r="F131" s="1" t="s">
        <v>288</v>
      </c>
      <c r="G131" s="3" t="s">
        <v>12</v>
      </c>
      <c r="I131" s="3">
        <v>128</v>
      </c>
      <c r="J131" s="1" t="s">
        <v>469</v>
      </c>
      <c r="K131" s="3" t="s">
        <v>11</v>
      </c>
      <c r="M131" s="3">
        <v>128</v>
      </c>
      <c r="N131" s="1" t="s">
        <v>652</v>
      </c>
      <c r="O131" s="3" t="s">
        <v>12</v>
      </c>
      <c r="Q131" s="3">
        <v>128</v>
      </c>
      <c r="R131" s="1" t="s">
        <v>814</v>
      </c>
      <c r="S131" s="3" t="s">
        <v>12</v>
      </c>
    </row>
    <row r="132" spans="1:19">
      <c r="A132" s="3">
        <v>129</v>
      </c>
      <c r="B132" s="1" t="s">
        <v>150</v>
      </c>
      <c r="C132" s="8" t="s">
        <v>12</v>
      </c>
      <c r="E132" s="3">
        <v>129</v>
      </c>
      <c r="F132" s="1" t="s">
        <v>289</v>
      </c>
      <c r="G132" s="3" t="s">
        <v>12</v>
      </c>
      <c r="I132" s="3">
        <v>129</v>
      </c>
      <c r="J132" s="1" t="s">
        <v>470</v>
      </c>
      <c r="K132" s="3" t="s">
        <v>11</v>
      </c>
      <c r="M132" s="3">
        <v>129</v>
      </c>
      <c r="N132" s="1" t="s">
        <v>653</v>
      </c>
      <c r="O132" s="3" t="s">
        <v>46</v>
      </c>
      <c r="Q132" s="3">
        <v>129</v>
      </c>
      <c r="R132" s="1" t="s">
        <v>815</v>
      </c>
      <c r="S132" s="3" t="s">
        <v>12</v>
      </c>
    </row>
    <row r="133" spans="1:19">
      <c r="A133" s="3">
        <v>130</v>
      </c>
      <c r="B133" s="1" t="s">
        <v>151</v>
      </c>
      <c r="C133" s="8" t="s">
        <v>11</v>
      </c>
      <c r="E133" s="3">
        <v>130</v>
      </c>
      <c r="F133" s="1" t="s">
        <v>290</v>
      </c>
      <c r="G133" s="3" t="s">
        <v>12</v>
      </c>
      <c r="I133" s="3">
        <v>130</v>
      </c>
      <c r="J133" s="1" t="s">
        <v>471</v>
      </c>
      <c r="K133" s="3" t="s">
        <v>46</v>
      </c>
      <c r="M133" s="3">
        <v>130</v>
      </c>
      <c r="N133" s="1" t="s">
        <v>654</v>
      </c>
      <c r="O133" s="3" t="s">
        <v>12</v>
      </c>
      <c r="Q133" s="3">
        <v>130</v>
      </c>
      <c r="R133" s="1" t="s">
        <v>816</v>
      </c>
      <c r="S133" s="3" t="s">
        <v>12</v>
      </c>
    </row>
    <row r="134" spans="1:19">
      <c r="A134" s="3">
        <v>131</v>
      </c>
      <c r="B134" s="1" t="s">
        <v>152</v>
      </c>
      <c r="C134" s="8" t="s">
        <v>46</v>
      </c>
      <c r="E134" s="3">
        <v>131</v>
      </c>
      <c r="F134" s="1" t="s">
        <v>291</v>
      </c>
      <c r="G134" s="3" t="s">
        <v>46</v>
      </c>
      <c r="I134" s="3">
        <v>131</v>
      </c>
      <c r="J134" s="1" t="s">
        <v>472</v>
      </c>
      <c r="K134" s="3" t="s">
        <v>46</v>
      </c>
      <c r="M134" s="3">
        <v>131</v>
      </c>
      <c r="N134" s="1" t="s">
        <v>655</v>
      </c>
      <c r="O134" s="3" t="s">
        <v>46</v>
      </c>
      <c r="Q134" s="3">
        <v>131</v>
      </c>
      <c r="R134" s="1" t="s">
        <v>817</v>
      </c>
      <c r="S134" s="3" t="s">
        <v>46</v>
      </c>
    </row>
    <row r="135" spans="1:19">
      <c r="A135" s="3">
        <v>132</v>
      </c>
      <c r="B135" s="1" t="s">
        <v>153</v>
      </c>
      <c r="C135" s="8" t="s">
        <v>12</v>
      </c>
      <c r="E135" s="17">
        <v>132</v>
      </c>
      <c r="F135" s="18" t="s">
        <v>292</v>
      </c>
      <c r="G135" s="17" t="s">
        <v>46</v>
      </c>
      <c r="I135" s="3">
        <v>132</v>
      </c>
      <c r="J135" s="1" t="s">
        <v>473</v>
      </c>
      <c r="K135" s="3" t="s">
        <v>46</v>
      </c>
      <c r="M135" s="3">
        <v>132</v>
      </c>
      <c r="N135" s="1" t="s">
        <v>656</v>
      </c>
      <c r="O135" s="3" t="s">
        <v>46</v>
      </c>
      <c r="Q135" s="3">
        <v>132</v>
      </c>
      <c r="R135" s="1" t="s">
        <v>818</v>
      </c>
      <c r="S135" s="3" t="s">
        <v>12</v>
      </c>
    </row>
    <row r="136" spans="1:19">
      <c r="A136" s="3">
        <v>133</v>
      </c>
      <c r="B136" s="1" t="s">
        <v>154</v>
      </c>
      <c r="C136" s="8" t="s">
        <v>12</v>
      </c>
      <c r="E136" s="3">
        <v>133</v>
      </c>
      <c r="F136" s="1" t="s">
        <v>293</v>
      </c>
      <c r="G136" s="3" t="s">
        <v>11</v>
      </c>
      <c r="I136" s="3">
        <v>133</v>
      </c>
      <c r="J136" s="1" t="s">
        <v>474</v>
      </c>
      <c r="K136" s="3" t="s">
        <v>46</v>
      </c>
      <c r="M136" s="3">
        <v>133</v>
      </c>
      <c r="N136" s="1" t="s">
        <v>657</v>
      </c>
      <c r="O136" s="3" t="s">
        <v>12</v>
      </c>
      <c r="Q136" s="3">
        <v>133</v>
      </c>
      <c r="R136" s="1" t="s">
        <v>819</v>
      </c>
      <c r="S136" s="3"/>
    </row>
    <row r="137" spans="1:19">
      <c r="A137" s="3">
        <v>134</v>
      </c>
      <c r="B137" s="1" t="s">
        <v>155</v>
      </c>
      <c r="C137" s="8" t="s">
        <v>12</v>
      </c>
      <c r="E137" s="3">
        <v>134</v>
      </c>
      <c r="F137" s="1" t="s">
        <v>294</v>
      </c>
      <c r="G137" s="3" t="s">
        <v>11</v>
      </c>
      <c r="I137" s="3">
        <v>134</v>
      </c>
      <c r="J137" s="1" t="s">
        <v>475</v>
      </c>
      <c r="K137" s="3" t="s">
        <v>46</v>
      </c>
      <c r="M137" s="3">
        <v>134</v>
      </c>
      <c r="N137" s="1" t="s">
        <v>658</v>
      </c>
      <c r="O137" s="3" t="s">
        <v>46</v>
      </c>
      <c r="Q137" s="3">
        <v>134</v>
      </c>
      <c r="R137" s="1" t="s">
        <v>820</v>
      </c>
      <c r="S137" s="3" t="s">
        <v>12</v>
      </c>
    </row>
    <row r="138" spans="1:19">
      <c r="A138" s="3">
        <v>135</v>
      </c>
      <c r="B138" s="1" t="s">
        <v>156</v>
      </c>
      <c r="C138" s="8" t="s">
        <v>11</v>
      </c>
      <c r="E138" s="3">
        <v>135</v>
      </c>
      <c r="F138" s="1" t="s">
        <v>295</v>
      </c>
      <c r="G138" s="3" t="s">
        <v>46</v>
      </c>
      <c r="I138" s="3">
        <v>135</v>
      </c>
      <c r="J138" s="1" t="s">
        <v>476</v>
      </c>
      <c r="K138" s="3" t="s">
        <v>46</v>
      </c>
      <c r="M138" s="3">
        <v>135</v>
      </c>
      <c r="N138" s="1" t="s">
        <v>659</v>
      </c>
      <c r="O138" s="3" t="s">
        <v>12</v>
      </c>
      <c r="Q138" s="3">
        <v>135</v>
      </c>
      <c r="R138" s="1" t="s">
        <v>821</v>
      </c>
      <c r="S138" s="3" t="s">
        <v>46</v>
      </c>
    </row>
    <row r="139" spans="1:19">
      <c r="A139" s="3">
        <v>136</v>
      </c>
      <c r="B139" s="1" t="s">
        <v>157</v>
      </c>
      <c r="C139" s="8" t="s">
        <v>46</v>
      </c>
      <c r="E139" s="3">
        <v>136</v>
      </c>
      <c r="F139" s="1" t="s">
        <v>296</v>
      </c>
      <c r="G139" s="3" t="s">
        <v>46</v>
      </c>
      <c r="I139" s="3">
        <v>136</v>
      </c>
      <c r="J139" s="1" t="s">
        <v>477</v>
      </c>
      <c r="K139" s="3" t="s">
        <v>12</v>
      </c>
      <c r="M139" s="3">
        <v>136</v>
      </c>
      <c r="N139" s="1" t="s">
        <v>660</v>
      </c>
      <c r="O139" s="3" t="s">
        <v>12</v>
      </c>
      <c r="Q139" s="3">
        <v>136</v>
      </c>
      <c r="R139" s="1" t="s">
        <v>822</v>
      </c>
      <c r="S139" s="3" t="s">
        <v>12</v>
      </c>
    </row>
    <row r="140" spans="1:19">
      <c r="A140" s="3">
        <v>137</v>
      </c>
      <c r="B140" s="1" t="s">
        <v>31</v>
      </c>
      <c r="C140" s="8" t="s">
        <v>12</v>
      </c>
      <c r="E140" s="17">
        <v>137</v>
      </c>
      <c r="F140" s="18" t="s">
        <v>297</v>
      </c>
      <c r="G140" s="17" t="s">
        <v>46</v>
      </c>
      <c r="I140" s="3">
        <v>137</v>
      </c>
      <c r="J140" s="1" t="s">
        <v>478</v>
      </c>
      <c r="K140" s="3" t="s">
        <v>46</v>
      </c>
      <c r="M140" s="3">
        <v>137</v>
      </c>
      <c r="N140" s="1" t="s">
        <v>661</v>
      </c>
      <c r="O140" s="3" t="s">
        <v>12</v>
      </c>
      <c r="Q140" s="3">
        <v>137</v>
      </c>
      <c r="R140" s="1" t="s">
        <v>823</v>
      </c>
      <c r="S140" s="3" t="s">
        <v>12</v>
      </c>
    </row>
    <row r="141" spans="1:19">
      <c r="A141" s="3">
        <v>138</v>
      </c>
      <c r="B141" s="1" t="s">
        <v>40</v>
      </c>
      <c r="C141" s="8" t="s">
        <v>12</v>
      </c>
      <c r="E141" s="3">
        <v>138</v>
      </c>
      <c r="F141" s="1" t="s">
        <v>298</v>
      </c>
      <c r="G141" s="3" t="s">
        <v>12</v>
      </c>
      <c r="I141" s="3">
        <v>138</v>
      </c>
      <c r="J141" s="1" t="s">
        <v>479</v>
      </c>
      <c r="K141" s="3" t="s">
        <v>11</v>
      </c>
      <c r="M141" s="3">
        <v>138</v>
      </c>
      <c r="N141" s="1" t="s">
        <v>662</v>
      </c>
      <c r="O141" s="3" t="s">
        <v>12</v>
      </c>
      <c r="Q141" s="3">
        <v>138</v>
      </c>
      <c r="R141" s="1" t="s">
        <v>824</v>
      </c>
      <c r="S141" s="3" t="s">
        <v>12</v>
      </c>
    </row>
    <row r="142" spans="1:19">
      <c r="A142" s="3">
        <v>139</v>
      </c>
      <c r="B142" s="1" t="s">
        <v>32</v>
      </c>
      <c r="C142" s="8" t="s">
        <v>46</v>
      </c>
      <c r="E142" s="3">
        <v>139</v>
      </c>
      <c r="F142" s="1" t="s">
        <v>299</v>
      </c>
      <c r="G142" s="3" t="s">
        <v>12</v>
      </c>
      <c r="I142" s="3">
        <v>139</v>
      </c>
      <c r="J142" s="1" t="s">
        <v>480</v>
      </c>
      <c r="K142" s="3" t="s">
        <v>12</v>
      </c>
      <c r="M142" s="3">
        <v>139</v>
      </c>
      <c r="N142" s="1" t="s">
        <v>663</v>
      </c>
      <c r="O142" s="3" t="s">
        <v>46</v>
      </c>
      <c r="Q142" s="3">
        <v>139</v>
      </c>
      <c r="R142" s="1" t="s">
        <v>825</v>
      </c>
      <c r="S142" s="3" t="s">
        <v>12</v>
      </c>
    </row>
    <row r="143" spans="1:19">
      <c r="A143" s="3">
        <v>140</v>
      </c>
      <c r="B143" s="1" t="s">
        <v>158</v>
      </c>
      <c r="C143" s="8" t="s">
        <v>46</v>
      </c>
      <c r="E143" s="3">
        <v>140</v>
      </c>
      <c r="F143" s="1" t="s">
        <v>300</v>
      </c>
      <c r="G143" s="3"/>
      <c r="I143" s="3">
        <v>140</v>
      </c>
      <c r="J143" s="1" t="s">
        <v>481</v>
      </c>
      <c r="K143" s="3" t="s">
        <v>46</v>
      </c>
      <c r="M143" s="3">
        <v>140</v>
      </c>
      <c r="N143" s="1" t="s">
        <v>664</v>
      </c>
      <c r="O143" s="3" t="s">
        <v>11</v>
      </c>
      <c r="Q143" s="3">
        <v>140</v>
      </c>
      <c r="R143" s="1" t="s">
        <v>826</v>
      </c>
      <c r="S143" s="3" t="s">
        <v>12</v>
      </c>
    </row>
    <row r="144" spans="1:19">
      <c r="A144" s="3">
        <v>141</v>
      </c>
      <c r="B144" s="1" t="s">
        <v>33</v>
      </c>
      <c r="C144" s="8" t="s">
        <v>12</v>
      </c>
      <c r="E144" s="3">
        <v>141</v>
      </c>
      <c r="F144" s="1" t="s">
        <v>301</v>
      </c>
      <c r="G144" s="3" t="s">
        <v>12</v>
      </c>
      <c r="I144" s="3">
        <v>141</v>
      </c>
      <c r="J144" s="1" t="s">
        <v>482</v>
      </c>
      <c r="K144" s="3" t="s">
        <v>12</v>
      </c>
      <c r="M144" s="3">
        <v>141</v>
      </c>
      <c r="N144" s="1" t="s">
        <v>665</v>
      </c>
      <c r="O144" s="3" t="s">
        <v>11</v>
      </c>
      <c r="Q144" s="3">
        <v>141</v>
      </c>
      <c r="R144" s="1" t="s">
        <v>827</v>
      </c>
      <c r="S144" s="3" t="s">
        <v>12</v>
      </c>
    </row>
    <row r="145" spans="1:21">
      <c r="A145" s="3">
        <v>142</v>
      </c>
      <c r="B145" s="1" t="s">
        <v>159</v>
      </c>
      <c r="C145" s="8" t="s">
        <v>46</v>
      </c>
      <c r="E145" s="3">
        <v>142</v>
      </c>
      <c r="F145" s="1" t="s">
        <v>302</v>
      </c>
      <c r="G145" s="3" t="s">
        <v>11</v>
      </c>
      <c r="I145" s="3">
        <v>142</v>
      </c>
      <c r="J145" s="1" t="s">
        <v>483</v>
      </c>
      <c r="K145" s="3" t="s">
        <v>46</v>
      </c>
      <c r="M145" s="3">
        <v>142</v>
      </c>
      <c r="N145" s="1" t="s">
        <v>666</v>
      </c>
      <c r="O145" s="3" t="s">
        <v>46</v>
      </c>
      <c r="Q145" s="3">
        <v>142</v>
      </c>
      <c r="R145" s="1" t="s">
        <v>828</v>
      </c>
      <c r="S145" s="3" t="s">
        <v>12</v>
      </c>
    </row>
    <row r="146" spans="1:21">
      <c r="A146" s="3">
        <v>143</v>
      </c>
      <c r="B146" s="1" t="s">
        <v>34</v>
      </c>
      <c r="C146" s="8" t="s">
        <v>46</v>
      </c>
      <c r="E146" s="3">
        <v>143</v>
      </c>
      <c r="F146" s="1" t="s">
        <v>303</v>
      </c>
      <c r="G146" s="3" t="s">
        <v>46</v>
      </c>
      <c r="I146" s="3">
        <v>143</v>
      </c>
      <c r="J146" s="1" t="s">
        <v>484</v>
      </c>
      <c r="K146" s="3" t="s">
        <v>11</v>
      </c>
      <c r="M146" s="3">
        <v>143</v>
      </c>
      <c r="N146" s="1" t="s">
        <v>667</v>
      </c>
      <c r="O146" s="3" t="s">
        <v>46</v>
      </c>
      <c r="Q146" s="3">
        <v>143</v>
      </c>
      <c r="R146" s="1" t="s">
        <v>829</v>
      </c>
      <c r="S146" s="3" t="s">
        <v>12</v>
      </c>
    </row>
    <row r="147" spans="1:21">
      <c r="A147" s="3">
        <v>144</v>
      </c>
      <c r="B147" s="1" t="s">
        <v>160</v>
      </c>
      <c r="C147" s="8" t="s">
        <v>46</v>
      </c>
      <c r="E147" s="3">
        <v>144</v>
      </c>
      <c r="F147" s="1" t="s">
        <v>304</v>
      </c>
      <c r="G147" s="3" t="s">
        <v>11</v>
      </c>
      <c r="I147" s="3">
        <v>144</v>
      </c>
      <c r="J147" s="1" t="s">
        <v>485</v>
      </c>
      <c r="K147" s="3" t="s">
        <v>46</v>
      </c>
      <c r="M147" s="3">
        <v>144</v>
      </c>
      <c r="N147" s="1" t="s">
        <v>668</v>
      </c>
      <c r="O147" s="3" t="s">
        <v>12</v>
      </c>
      <c r="Q147" s="14">
        <v>144</v>
      </c>
      <c r="R147" s="15" t="s">
        <v>830</v>
      </c>
      <c r="S147" s="14" t="s">
        <v>46</v>
      </c>
    </row>
    <row r="148" spans="1:21" ht="16.5" thickBot="1">
      <c r="A148" s="3">
        <v>145</v>
      </c>
      <c r="B148" s="1" t="s">
        <v>35</v>
      </c>
      <c r="C148" s="8" t="s">
        <v>46</v>
      </c>
      <c r="E148" s="3">
        <v>145</v>
      </c>
      <c r="F148" s="1" t="s">
        <v>305</v>
      </c>
      <c r="G148" s="3" t="s">
        <v>12</v>
      </c>
      <c r="I148" s="3">
        <v>145</v>
      </c>
      <c r="J148" s="1" t="s">
        <v>486</v>
      </c>
      <c r="K148" s="3" t="s">
        <v>46</v>
      </c>
      <c r="M148" s="3">
        <v>145</v>
      </c>
      <c r="N148" s="1" t="s">
        <v>669</v>
      </c>
      <c r="O148" s="3" t="s">
        <v>12</v>
      </c>
      <c r="Q148" s="16"/>
      <c r="R148" s="4"/>
      <c r="S148" s="16"/>
    </row>
    <row r="149" spans="1:21" ht="16.5" thickBot="1">
      <c r="A149" s="3">
        <v>146</v>
      </c>
      <c r="B149" s="1" t="s">
        <v>161</v>
      </c>
      <c r="C149" s="8" t="s">
        <v>46</v>
      </c>
      <c r="E149" s="3">
        <v>146</v>
      </c>
      <c r="F149" s="1" t="s">
        <v>306</v>
      </c>
      <c r="G149" s="3" t="s">
        <v>12</v>
      </c>
      <c r="I149" s="3">
        <v>146</v>
      </c>
      <c r="J149" s="1" t="s">
        <v>487</v>
      </c>
      <c r="K149" s="3" t="s">
        <v>11</v>
      </c>
      <c r="M149" s="3">
        <v>146</v>
      </c>
      <c r="N149" s="1" t="s">
        <v>670</v>
      </c>
      <c r="O149" s="3" t="s">
        <v>12</v>
      </c>
      <c r="Q149" s="13"/>
      <c r="R149" s="13" t="s">
        <v>2</v>
      </c>
      <c r="S149" s="19"/>
      <c r="T149" s="12"/>
      <c r="U149" s="12"/>
    </row>
    <row r="150" spans="1:21" ht="16.5" thickBot="1">
      <c r="A150" s="3">
        <v>147</v>
      </c>
      <c r="B150" s="1" t="s">
        <v>36</v>
      </c>
      <c r="C150" s="8" t="s">
        <v>46</v>
      </c>
      <c r="E150" s="3">
        <v>147</v>
      </c>
      <c r="F150" s="1" t="s">
        <v>307</v>
      </c>
      <c r="G150" s="3" t="s">
        <v>12</v>
      </c>
      <c r="I150" s="3">
        <v>147</v>
      </c>
      <c r="J150" s="1" t="s">
        <v>488</v>
      </c>
      <c r="K150" s="3" t="s">
        <v>12</v>
      </c>
      <c r="M150" s="3">
        <v>147</v>
      </c>
      <c r="N150" s="1" t="s">
        <v>671</v>
      </c>
      <c r="O150" s="3" t="s">
        <v>12</v>
      </c>
      <c r="Q150" s="16"/>
      <c r="R150" s="11" t="s">
        <v>14</v>
      </c>
      <c r="S150" s="20">
        <f>COUNTIF(S2:S147,"A")</f>
        <v>0</v>
      </c>
    </row>
    <row r="151" spans="1:21" ht="16.5" thickBot="1">
      <c r="E151" s="3">
        <v>148</v>
      </c>
      <c r="F151" s="1" t="s">
        <v>308</v>
      </c>
      <c r="G151" s="3" t="s">
        <v>12</v>
      </c>
      <c r="I151" s="3">
        <v>148</v>
      </c>
      <c r="J151" s="1" t="s">
        <v>489</v>
      </c>
      <c r="K151" s="3" t="s">
        <v>46</v>
      </c>
      <c r="M151" s="3">
        <v>148</v>
      </c>
      <c r="N151" s="1" t="s">
        <v>672</v>
      </c>
      <c r="O151" s="3" t="s">
        <v>12</v>
      </c>
      <c r="Q151" s="16"/>
      <c r="R151" s="11" t="s">
        <v>11</v>
      </c>
      <c r="S151" s="19">
        <f>COUNTIF(S2:S147,"B")</f>
        <v>16</v>
      </c>
    </row>
    <row r="152" spans="1:21" ht="16.5" thickBot="1">
      <c r="B152" s="13" t="s">
        <v>2</v>
      </c>
      <c r="C152" s="19"/>
      <c r="E152" s="3">
        <v>149</v>
      </c>
      <c r="F152" s="1" t="s">
        <v>309</v>
      </c>
      <c r="G152" s="3" t="s">
        <v>46</v>
      </c>
      <c r="I152" s="3">
        <v>149</v>
      </c>
      <c r="J152" s="1" t="s">
        <v>490</v>
      </c>
      <c r="K152" s="3" t="s">
        <v>46</v>
      </c>
      <c r="M152" s="3">
        <v>149</v>
      </c>
      <c r="N152" s="1" t="s">
        <v>673</v>
      </c>
      <c r="O152" s="3" t="s">
        <v>46</v>
      </c>
      <c r="Q152" s="16"/>
      <c r="R152" s="11" t="s">
        <v>46</v>
      </c>
      <c r="S152" s="19">
        <f>COUNTIF(S2:S147,"C")</f>
        <v>42</v>
      </c>
    </row>
    <row r="153" spans="1:21" ht="16.5" thickBot="1">
      <c r="B153" s="11" t="s">
        <v>14</v>
      </c>
      <c r="C153" s="20">
        <f>COUNTIF(C2:C149,"A")</f>
        <v>0</v>
      </c>
      <c r="E153" s="3">
        <v>150</v>
      </c>
      <c r="F153" s="1" t="s">
        <v>310</v>
      </c>
      <c r="G153" s="3" t="s">
        <v>46</v>
      </c>
      <c r="I153" s="3">
        <v>150</v>
      </c>
      <c r="J153" s="1" t="s">
        <v>491</v>
      </c>
      <c r="K153" s="3" t="s">
        <v>46</v>
      </c>
      <c r="M153" s="3">
        <v>150</v>
      </c>
      <c r="N153" s="1" t="s">
        <v>674</v>
      </c>
      <c r="O153" s="3" t="s">
        <v>46</v>
      </c>
      <c r="Q153" s="16"/>
      <c r="R153" s="11" t="s">
        <v>12</v>
      </c>
      <c r="S153" s="19">
        <f>COUNTIF(S2:S147,"D")</f>
        <v>79</v>
      </c>
    </row>
    <row r="154" spans="1:21" ht="16.5" thickBot="1">
      <c r="B154" s="11" t="s">
        <v>11</v>
      </c>
      <c r="C154" s="19">
        <f>COUNTIF(C3:C150,"B")</f>
        <v>26</v>
      </c>
      <c r="E154" s="3">
        <v>151</v>
      </c>
      <c r="F154" s="1" t="s">
        <v>311</v>
      </c>
      <c r="G154" s="3" t="s">
        <v>46</v>
      </c>
      <c r="I154" s="3">
        <v>151</v>
      </c>
      <c r="J154" s="1" t="s">
        <v>492</v>
      </c>
      <c r="K154" s="3" t="s">
        <v>12</v>
      </c>
      <c r="M154" s="3">
        <v>151</v>
      </c>
      <c r="N154" s="1" t="s">
        <v>675</v>
      </c>
      <c r="O154" s="3" t="s">
        <v>46</v>
      </c>
      <c r="Q154" s="16"/>
      <c r="R154" s="4"/>
      <c r="S154" s="16"/>
    </row>
    <row r="155" spans="1:21" ht="16.5" thickBot="1">
      <c r="B155" s="11" t="s">
        <v>46</v>
      </c>
      <c r="C155" s="19">
        <f>COUNTIF(C3:C150,"C")</f>
        <v>53</v>
      </c>
      <c r="E155" s="3">
        <v>152</v>
      </c>
      <c r="F155" s="1" t="s">
        <v>312</v>
      </c>
      <c r="G155" s="3" t="s">
        <v>12</v>
      </c>
      <c r="I155" s="3">
        <v>152</v>
      </c>
      <c r="J155" s="1" t="s">
        <v>493</v>
      </c>
      <c r="K155" s="3" t="s">
        <v>12</v>
      </c>
      <c r="M155" s="3">
        <v>152</v>
      </c>
      <c r="N155" s="1" t="s">
        <v>676</v>
      </c>
      <c r="O155" s="3" t="s">
        <v>46</v>
      </c>
      <c r="Q155" s="16"/>
      <c r="R155" s="4"/>
      <c r="S155" s="16"/>
    </row>
    <row r="156" spans="1:21" ht="16.5" thickBot="1">
      <c r="B156" s="11" t="s">
        <v>12</v>
      </c>
      <c r="C156" s="19">
        <f>COUNTIF(C3:C150,"D")</f>
        <v>65</v>
      </c>
      <c r="E156" s="3">
        <v>153</v>
      </c>
      <c r="F156" s="1" t="s">
        <v>313</v>
      </c>
      <c r="G156" s="3"/>
      <c r="I156" s="3">
        <v>153</v>
      </c>
      <c r="J156" s="1" t="s">
        <v>494</v>
      </c>
      <c r="K156" s="3" t="s">
        <v>12</v>
      </c>
      <c r="M156" s="3">
        <v>153</v>
      </c>
      <c r="N156" s="1" t="s">
        <v>677</v>
      </c>
      <c r="O156" s="3" t="s">
        <v>12</v>
      </c>
      <c r="Q156" s="16"/>
      <c r="R156" s="4"/>
      <c r="S156" s="16"/>
    </row>
    <row r="157" spans="1:21">
      <c r="E157" s="3">
        <v>154</v>
      </c>
      <c r="F157" s="1" t="s">
        <v>314</v>
      </c>
      <c r="G157" s="3" t="s">
        <v>12</v>
      </c>
      <c r="I157" s="3">
        <v>154</v>
      </c>
      <c r="J157" s="1" t="s">
        <v>495</v>
      </c>
      <c r="K157" s="3" t="s">
        <v>46</v>
      </c>
      <c r="M157" s="3">
        <v>154</v>
      </c>
      <c r="N157" s="1" t="s">
        <v>678</v>
      </c>
      <c r="O157" s="3" t="s">
        <v>46</v>
      </c>
      <c r="Q157" s="16"/>
      <c r="R157" s="4"/>
      <c r="S157" s="16"/>
    </row>
    <row r="158" spans="1:21">
      <c r="E158" s="3">
        <v>155</v>
      </c>
      <c r="F158" s="1" t="s">
        <v>315</v>
      </c>
      <c r="G158" s="3" t="s">
        <v>11</v>
      </c>
      <c r="I158" s="3">
        <v>155</v>
      </c>
      <c r="J158" s="1" t="s">
        <v>496</v>
      </c>
      <c r="K158" s="3" t="s">
        <v>46</v>
      </c>
      <c r="M158" s="3">
        <v>155</v>
      </c>
      <c r="N158" s="1" t="s">
        <v>679</v>
      </c>
      <c r="O158" s="3" t="s">
        <v>46</v>
      </c>
      <c r="Q158" s="16"/>
      <c r="R158" s="4"/>
      <c r="S158" s="16"/>
    </row>
    <row r="159" spans="1:21">
      <c r="E159" s="3">
        <v>156</v>
      </c>
      <c r="F159" s="1" t="s">
        <v>316</v>
      </c>
      <c r="G159" s="3" t="s">
        <v>46</v>
      </c>
      <c r="I159" s="3">
        <v>156</v>
      </c>
      <c r="J159" s="1" t="s">
        <v>497</v>
      </c>
      <c r="K159" s="3" t="s">
        <v>46</v>
      </c>
      <c r="M159" s="3">
        <v>156</v>
      </c>
      <c r="N159" s="1" t="s">
        <v>680</v>
      </c>
      <c r="O159" s="3" t="s">
        <v>46</v>
      </c>
      <c r="Q159" s="16"/>
      <c r="R159" s="4"/>
      <c r="S159" s="16"/>
    </row>
    <row r="160" spans="1:21">
      <c r="E160" s="3">
        <v>157</v>
      </c>
      <c r="F160" s="1" t="s">
        <v>317</v>
      </c>
      <c r="G160" s="3" t="s">
        <v>12</v>
      </c>
      <c r="I160" s="3">
        <v>157</v>
      </c>
      <c r="J160" s="1" t="s">
        <v>498</v>
      </c>
      <c r="K160" s="3" t="s">
        <v>46</v>
      </c>
      <c r="M160" s="3">
        <v>157</v>
      </c>
      <c r="N160" s="1" t="s">
        <v>681</v>
      </c>
      <c r="O160" s="3" t="s">
        <v>12</v>
      </c>
      <c r="Q160" s="16"/>
      <c r="R160" s="4"/>
      <c r="S160" s="16"/>
    </row>
    <row r="161" spans="5:19">
      <c r="E161" s="3">
        <v>158</v>
      </c>
      <c r="F161" s="1" t="s">
        <v>318</v>
      </c>
      <c r="G161" s="3" t="s">
        <v>12</v>
      </c>
      <c r="I161" s="3">
        <v>158</v>
      </c>
      <c r="J161" s="1" t="s">
        <v>499</v>
      </c>
      <c r="K161" s="3" t="s">
        <v>12</v>
      </c>
      <c r="M161" s="3">
        <v>158</v>
      </c>
      <c r="N161" s="1" t="s">
        <v>682</v>
      </c>
      <c r="O161" s="3" t="s">
        <v>46</v>
      </c>
      <c r="Q161" s="16"/>
      <c r="R161" s="4"/>
      <c r="S161" s="16"/>
    </row>
    <row r="162" spans="5:19">
      <c r="E162" s="3">
        <v>159</v>
      </c>
      <c r="F162" s="1" t="s">
        <v>319</v>
      </c>
      <c r="G162" s="3" t="s">
        <v>12</v>
      </c>
      <c r="I162" s="3">
        <v>159</v>
      </c>
      <c r="J162" s="1" t="s">
        <v>500</v>
      </c>
      <c r="K162" s="3" t="s">
        <v>12</v>
      </c>
      <c r="M162" s="3">
        <v>159</v>
      </c>
      <c r="N162" s="1" t="s">
        <v>683</v>
      </c>
      <c r="O162" s="3" t="s">
        <v>12</v>
      </c>
      <c r="Q162" s="16"/>
      <c r="R162" s="4"/>
      <c r="S162" s="16"/>
    </row>
    <row r="163" spans="5:19" ht="16.5" thickBot="1">
      <c r="E163" s="3">
        <v>160</v>
      </c>
      <c r="F163" s="1" t="s">
        <v>320</v>
      </c>
      <c r="G163" s="3" t="s">
        <v>12</v>
      </c>
      <c r="I163" s="3">
        <v>160</v>
      </c>
      <c r="J163" s="1" t="s">
        <v>501</v>
      </c>
      <c r="K163" s="3" t="s">
        <v>46</v>
      </c>
    </row>
    <row r="164" spans="5:19" ht="16.5" thickBot="1">
      <c r="E164" s="3">
        <v>161</v>
      </c>
      <c r="F164" s="1" t="s">
        <v>321</v>
      </c>
      <c r="G164" s="3" t="s">
        <v>12</v>
      </c>
      <c r="I164" s="3">
        <v>161</v>
      </c>
      <c r="J164" s="1" t="s">
        <v>502</v>
      </c>
      <c r="K164" s="3" t="s">
        <v>12</v>
      </c>
      <c r="N164" s="13" t="s">
        <v>2</v>
      </c>
      <c r="O164" s="19"/>
    </row>
    <row r="165" spans="5:19" ht="16.5" thickBot="1">
      <c r="E165" s="3">
        <v>162</v>
      </c>
      <c r="F165" s="1" t="s">
        <v>322</v>
      </c>
      <c r="G165" s="3" t="s">
        <v>12</v>
      </c>
      <c r="I165" s="3">
        <v>162</v>
      </c>
      <c r="J165" s="1" t="s">
        <v>503</v>
      </c>
      <c r="K165" s="3" t="s">
        <v>46</v>
      </c>
      <c r="N165" s="11" t="s">
        <v>14</v>
      </c>
      <c r="O165" s="20">
        <f>COUNTIF(O2:O162,"A")</f>
        <v>0</v>
      </c>
    </row>
    <row r="166" spans="5:19" ht="16.5" thickBot="1">
      <c r="E166" s="3">
        <v>163</v>
      </c>
      <c r="F166" s="1" t="s">
        <v>323</v>
      </c>
      <c r="G166" s="3" t="s">
        <v>12</v>
      </c>
      <c r="I166" s="3">
        <v>163</v>
      </c>
      <c r="J166" s="1" t="s">
        <v>504</v>
      </c>
      <c r="K166" s="3" t="s">
        <v>11</v>
      </c>
      <c r="N166" s="11" t="s">
        <v>11</v>
      </c>
      <c r="O166" s="19">
        <f>COUNTIF(O2:O162,"B")</f>
        <v>9</v>
      </c>
    </row>
    <row r="167" spans="5:19" ht="16.5" thickBot="1">
      <c r="E167" s="3">
        <v>164</v>
      </c>
      <c r="F167" s="1" t="s">
        <v>324</v>
      </c>
      <c r="G167" s="3" t="s">
        <v>46</v>
      </c>
      <c r="I167" s="3">
        <v>164</v>
      </c>
      <c r="J167" s="1" t="s">
        <v>505</v>
      </c>
      <c r="K167" s="3" t="s">
        <v>12</v>
      </c>
      <c r="N167" s="11" t="s">
        <v>46</v>
      </c>
      <c r="O167" s="19">
        <f>COUNTIF(O2:O162,"C")</f>
        <v>78</v>
      </c>
    </row>
    <row r="168" spans="5:19" ht="16.5" thickBot="1">
      <c r="E168" s="3">
        <v>165</v>
      </c>
      <c r="F168" s="1" t="s">
        <v>325</v>
      </c>
      <c r="G168" s="3" t="s">
        <v>11</v>
      </c>
      <c r="I168" s="3">
        <v>165</v>
      </c>
      <c r="J168" s="1" t="s">
        <v>506</v>
      </c>
      <c r="K168" s="3" t="s">
        <v>46</v>
      </c>
      <c r="N168" s="11" t="s">
        <v>12</v>
      </c>
      <c r="O168" s="19">
        <f>COUNTIF(O2:O162,"D")</f>
        <v>65</v>
      </c>
    </row>
    <row r="169" spans="5:19">
      <c r="E169" s="3">
        <v>166</v>
      </c>
      <c r="F169" s="1" t="s">
        <v>326</v>
      </c>
      <c r="G169" s="3" t="s">
        <v>46</v>
      </c>
      <c r="I169" s="3">
        <v>166</v>
      </c>
      <c r="J169" s="1" t="s">
        <v>507</v>
      </c>
      <c r="K169" s="3" t="s">
        <v>12</v>
      </c>
    </row>
    <row r="170" spans="5:19">
      <c r="E170" s="3">
        <v>167</v>
      </c>
      <c r="F170" s="1" t="s">
        <v>327</v>
      </c>
      <c r="G170" s="3" t="s">
        <v>46</v>
      </c>
      <c r="I170" s="3">
        <v>167</v>
      </c>
      <c r="J170" s="1" t="s">
        <v>508</v>
      </c>
      <c r="K170" s="3" t="s">
        <v>46</v>
      </c>
    </row>
    <row r="171" spans="5:19">
      <c r="E171" s="3">
        <v>168</v>
      </c>
      <c r="F171" s="1" t="s">
        <v>328</v>
      </c>
      <c r="G171" s="3" t="s">
        <v>12</v>
      </c>
      <c r="I171" s="3">
        <v>168</v>
      </c>
      <c r="J171" s="1" t="s">
        <v>509</v>
      </c>
      <c r="K171" s="3" t="s">
        <v>46</v>
      </c>
    </row>
    <row r="172" spans="5:19">
      <c r="E172" s="3">
        <v>169</v>
      </c>
      <c r="F172" s="1" t="s">
        <v>329</v>
      </c>
      <c r="G172" s="3" t="s">
        <v>12</v>
      </c>
      <c r="I172" s="3">
        <v>169</v>
      </c>
      <c r="J172" s="1" t="s">
        <v>510</v>
      </c>
      <c r="K172" s="3" t="s">
        <v>11</v>
      </c>
    </row>
    <row r="173" spans="5:19">
      <c r="E173" s="3">
        <v>170</v>
      </c>
      <c r="F173" s="1" t="s">
        <v>330</v>
      </c>
      <c r="G173" s="3" t="s">
        <v>12</v>
      </c>
      <c r="I173" s="3">
        <v>170</v>
      </c>
      <c r="J173" s="1" t="s">
        <v>511</v>
      </c>
      <c r="K173" s="3" t="s">
        <v>11</v>
      </c>
    </row>
    <row r="174" spans="5:19">
      <c r="E174" s="3">
        <v>171</v>
      </c>
      <c r="F174" s="1" t="s">
        <v>331</v>
      </c>
      <c r="G174" s="3" t="s">
        <v>11</v>
      </c>
      <c r="I174" s="3">
        <v>171</v>
      </c>
      <c r="J174" s="1" t="s">
        <v>512</v>
      </c>
      <c r="K174" s="3" t="s">
        <v>46</v>
      </c>
    </row>
    <row r="175" spans="5:19">
      <c r="E175" s="3">
        <v>172</v>
      </c>
      <c r="F175" s="1" t="s">
        <v>332</v>
      </c>
      <c r="G175" s="3" t="s">
        <v>12</v>
      </c>
      <c r="I175" s="3">
        <v>172</v>
      </c>
      <c r="J175" s="1" t="s">
        <v>513</v>
      </c>
      <c r="K175" s="3" t="s">
        <v>12</v>
      </c>
    </row>
    <row r="176" spans="5:19">
      <c r="E176" s="3">
        <v>173</v>
      </c>
      <c r="F176" s="1" t="s">
        <v>333</v>
      </c>
      <c r="G176" s="3" t="s">
        <v>12</v>
      </c>
      <c r="I176" s="3">
        <v>173</v>
      </c>
      <c r="J176" s="1" t="s">
        <v>514</v>
      </c>
      <c r="K176" s="3" t="s">
        <v>46</v>
      </c>
    </row>
    <row r="177" spans="5:11">
      <c r="E177" s="3">
        <v>174</v>
      </c>
      <c r="F177" s="1" t="s">
        <v>334</v>
      </c>
      <c r="G177" s="3" t="s">
        <v>12</v>
      </c>
      <c r="I177" s="3">
        <v>174</v>
      </c>
      <c r="J177" s="1" t="s">
        <v>515</v>
      </c>
      <c r="K177" s="3" t="s">
        <v>46</v>
      </c>
    </row>
    <row r="178" spans="5:11">
      <c r="E178" s="3">
        <v>175</v>
      </c>
      <c r="F178" s="1" t="s">
        <v>335</v>
      </c>
      <c r="G178" s="3" t="s">
        <v>46</v>
      </c>
      <c r="I178" s="3">
        <v>175</v>
      </c>
      <c r="J178" s="1" t="s">
        <v>516</v>
      </c>
      <c r="K178" s="3" t="s">
        <v>46</v>
      </c>
    </row>
    <row r="179" spans="5:11">
      <c r="E179" s="3">
        <v>176</v>
      </c>
      <c r="F179" s="1" t="s">
        <v>336</v>
      </c>
      <c r="G179" s="3" t="s">
        <v>46</v>
      </c>
      <c r="I179" s="3">
        <v>176</v>
      </c>
      <c r="J179" s="1" t="s">
        <v>517</v>
      </c>
      <c r="K179" s="3" t="s">
        <v>46</v>
      </c>
    </row>
    <row r="180" spans="5:11">
      <c r="E180" s="3">
        <v>177</v>
      </c>
      <c r="F180" s="1" t="s">
        <v>337</v>
      </c>
      <c r="G180" s="3" t="s">
        <v>12</v>
      </c>
      <c r="I180" s="3">
        <v>177</v>
      </c>
      <c r="J180" s="1" t="s">
        <v>518</v>
      </c>
      <c r="K180" s="3" t="s">
        <v>12</v>
      </c>
    </row>
    <row r="181" spans="5:11">
      <c r="E181" s="3">
        <v>178</v>
      </c>
      <c r="F181" s="1" t="s">
        <v>338</v>
      </c>
      <c r="G181" s="3" t="s">
        <v>46</v>
      </c>
      <c r="I181" s="3">
        <v>178</v>
      </c>
      <c r="J181" s="1" t="s">
        <v>519</v>
      </c>
      <c r="K181" s="3" t="s">
        <v>12</v>
      </c>
    </row>
    <row r="182" spans="5:11">
      <c r="E182" s="3">
        <v>179</v>
      </c>
      <c r="F182" s="1" t="s">
        <v>339</v>
      </c>
      <c r="G182" s="3" t="s">
        <v>46</v>
      </c>
      <c r="I182" s="3">
        <v>179</v>
      </c>
      <c r="J182" s="1" t="s">
        <v>520</v>
      </c>
      <c r="K182" s="3" t="s">
        <v>46</v>
      </c>
    </row>
    <row r="183" spans="5:11">
      <c r="E183" s="3">
        <v>180</v>
      </c>
      <c r="F183" s="1" t="s">
        <v>340</v>
      </c>
      <c r="G183" s="3" t="s">
        <v>12</v>
      </c>
      <c r="I183" s="3">
        <v>180</v>
      </c>
      <c r="J183" s="1" t="s">
        <v>521</v>
      </c>
      <c r="K183" s="3" t="s">
        <v>12</v>
      </c>
    </row>
    <row r="184" spans="5:11">
      <c r="E184" s="3">
        <v>181</v>
      </c>
      <c r="F184" s="1" t="s">
        <v>341</v>
      </c>
      <c r="G184" s="3"/>
      <c r="I184" s="3">
        <v>181</v>
      </c>
      <c r="J184" s="1" t="s">
        <v>522</v>
      </c>
      <c r="K184" s="3" t="s">
        <v>46</v>
      </c>
    </row>
    <row r="185" spans="5:11">
      <c r="E185" s="3">
        <v>182</v>
      </c>
      <c r="F185" s="1" t="s">
        <v>342</v>
      </c>
      <c r="G185" s="3" t="s">
        <v>12</v>
      </c>
      <c r="I185" s="3">
        <v>182</v>
      </c>
      <c r="J185" s="1" t="s">
        <v>523</v>
      </c>
      <c r="K185" s="3" t="s">
        <v>12</v>
      </c>
    </row>
    <row r="186" spans="5:11">
      <c r="E186" s="3">
        <v>183</v>
      </c>
      <c r="F186" s="1" t="s">
        <v>343</v>
      </c>
      <c r="G186" s="3" t="s">
        <v>46</v>
      </c>
      <c r="I186" s="3">
        <v>183</v>
      </c>
      <c r="J186" s="1" t="s">
        <v>524</v>
      </c>
      <c r="K186" s="3" t="s">
        <v>46</v>
      </c>
    </row>
    <row r="187" spans="5:11">
      <c r="E187" s="3">
        <v>184</v>
      </c>
      <c r="F187" s="1" t="s">
        <v>344</v>
      </c>
      <c r="G187" s="3" t="s">
        <v>11</v>
      </c>
      <c r="I187" s="3">
        <v>184</v>
      </c>
      <c r="J187" s="1" t="s">
        <v>525</v>
      </c>
      <c r="K187" s="3" t="s">
        <v>46</v>
      </c>
    </row>
    <row r="188" spans="5:11">
      <c r="E188" s="3"/>
      <c r="F188" s="1"/>
      <c r="G188" s="3"/>
      <c r="I188" s="3">
        <v>185</v>
      </c>
      <c r="J188" s="1" t="s">
        <v>526</v>
      </c>
      <c r="K188" s="3" t="s">
        <v>46</v>
      </c>
    </row>
    <row r="189" spans="5:11" ht="16.5" thickBot="1">
      <c r="I189" s="3">
        <v>186</v>
      </c>
      <c r="J189" s="1" t="s">
        <v>527</v>
      </c>
      <c r="K189" s="3" t="s">
        <v>46</v>
      </c>
    </row>
    <row r="190" spans="5:11" ht="16.5" thickBot="1">
      <c r="F190" s="13" t="s">
        <v>2</v>
      </c>
      <c r="G190" s="19"/>
      <c r="I190" s="3">
        <v>187</v>
      </c>
      <c r="J190" s="1" t="s">
        <v>528</v>
      </c>
      <c r="K190" s="3" t="s">
        <v>46</v>
      </c>
    </row>
    <row r="191" spans="5:11" ht="16.5" thickBot="1">
      <c r="F191" s="11" t="s">
        <v>14</v>
      </c>
      <c r="G191" s="20">
        <f>COUNTIF(G2:G187,"A")</f>
        <v>0</v>
      </c>
      <c r="I191" s="3">
        <v>188</v>
      </c>
      <c r="J191" s="1" t="s">
        <v>529</v>
      </c>
      <c r="K191" s="3" t="s">
        <v>46</v>
      </c>
    </row>
    <row r="192" spans="5:11" ht="16.5" thickBot="1">
      <c r="F192" s="11" t="s">
        <v>11</v>
      </c>
      <c r="G192" s="19">
        <f>COUNTIF(G2:G188,"B")</f>
        <v>20</v>
      </c>
    </row>
    <row r="193" spans="6:11" ht="16.5" thickBot="1">
      <c r="F193" s="11" t="s">
        <v>46</v>
      </c>
      <c r="G193" s="19">
        <f>COUNTIF(G41:G188,"C")</f>
        <v>51</v>
      </c>
      <c r="J193" s="13" t="s">
        <v>2</v>
      </c>
      <c r="K193" s="19"/>
    </row>
    <row r="194" spans="6:11" ht="16.5" thickBot="1">
      <c r="F194" s="11" t="s">
        <v>12</v>
      </c>
      <c r="G194" s="19">
        <f>COUNTIF(G2:G188,"D")</f>
        <v>94</v>
      </c>
      <c r="J194" s="11" t="s">
        <v>14</v>
      </c>
      <c r="K194" s="20">
        <f>COUNTIF(K2:K190,"A")</f>
        <v>0</v>
      </c>
    </row>
    <row r="195" spans="6:11" ht="16.5" thickBot="1">
      <c r="J195" s="11" t="s">
        <v>11</v>
      </c>
      <c r="K195" s="19">
        <f>COUNTIF(K2:K191,"B")</f>
        <v>26</v>
      </c>
    </row>
    <row r="196" spans="6:11" ht="16.5" thickBot="1">
      <c r="J196" s="11" t="s">
        <v>46</v>
      </c>
      <c r="K196" s="19">
        <f>COUNTIF(K2:K191,"C")</f>
        <v>87</v>
      </c>
    </row>
    <row r="197" spans="6:11" ht="16.5" thickBot="1">
      <c r="J197" s="11" t="s">
        <v>12</v>
      </c>
      <c r="K197" s="19">
        <f>COUNTIF(K2:K191,"D")</f>
        <v>75</v>
      </c>
    </row>
    <row r="341" spans="4:4">
      <c r="D341" s="4"/>
    </row>
  </sheetData>
  <mergeCells count="5">
    <mergeCell ref="I2:K2"/>
    <mergeCell ref="M2:O2"/>
    <mergeCell ref="A2:C2"/>
    <mergeCell ref="E2:G2"/>
    <mergeCell ref="Q2:S2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2026-05-11T03:35:37Z</cp:lastPrinted>
  <dcterms:created xsi:type="dcterms:W3CDTF">2015-06-05T18:17:20Z</dcterms:created>
  <dcterms:modified xsi:type="dcterms:W3CDTF">2026-05-16T04:56:50Z</dcterms:modified>
</cp:coreProperties>
</file>