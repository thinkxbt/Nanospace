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01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1979C457-3FEE-4EFF-9771-0707AAE73BD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7" i="2" l="1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H8" i="2"/>
  <c r="J8" i="2" s="1"/>
  <c r="J10" i="2"/>
  <c r="J14" i="2"/>
  <c r="J18" i="2"/>
  <c r="J22" i="2"/>
  <c r="J26" i="2"/>
  <c r="J30" i="2"/>
  <c r="J34" i="2"/>
  <c r="I8" i="2"/>
  <c r="I10" i="2"/>
  <c r="I14" i="2"/>
  <c r="I18" i="2"/>
  <c r="I22" i="2"/>
  <c r="I26" i="2"/>
  <c r="I30" i="2"/>
  <c r="I34" i="2"/>
  <c r="H9" i="2"/>
  <c r="J9" i="2" s="1"/>
  <c r="H10" i="2"/>
  <c r="H11" i="2"/>
  <c r="J11" i="2" s="1"/>
  <c r="H12" i="2"/>
  <c r="J12" i="2" s="1"/>
  <c r="H13" i="2"/>
  <c r="J13" i="2" s="1"/>
  <c r="H14" i="2"/>
  <c r="H15" i="2"/>
  <c r="J15" i="2" s="1"/>
  <c r="H16" i="2"/>
  <c r="J16" i="2" s="1"/>
  <c r="H17" i="2"/>
  <c r="J17" i="2" s="1"/>
  <c r="H18" i="2"/>
  <c r="H19" i="2"/>
  <c r="J19" i="2" s="1"/>
  <c r="H20" i="2"/>
  <c r="J20" i="2" s="1"/>
  <c r="H21" i="2"/>
  <c r="J21" i="2" s="1"/>
  <c r="H22" i="2"/>
  <c r="H23" i="2"/>
  <c r="J23" i="2" s="1"/>
  <c r="H24" i="2"/>
  <c r="J24" i="2" s="1"/>
  <c r="H25" i="2"/>
  <c r="J25" i="2" s="1"/>
  <c r="H26" i="2"/>
  <c r="H27" i="2"/>
  <c r="J27" i="2" s="1"/>
  <c r="H28" i="2"/>
  <c r="J28" i="2" s="1"/>
  <c r="H29" i="2"/>
  <c r="J29" i="2" s="1"/>
  <c r="H30" i="2"/>
  <c r="H31" i="2"/>
  <c r="J31" i="2" s="1"/>
  <c r="H32" i="2"/>
  <c r="J32" i="2" s="1"/>
  <c r="H33" i="2"/>
  <c r="J33" i="2" s="1"/>
  <c r="H34" i="2"/>
  <c r="H35" i="2"/>
  <c r="J35" i="2" s="1"/>
  <c r="M7" i="2"/>
  <c r="H7" i="2"/>
  <c r="I7" i="2" s="1"/>
  <c r="I33" i="2" l="1"/>
  <c r="I29" i="2"/>
  <c r="I25" i="2"/>
  <c r="I21" i="2"/>
  <c r="I17" i="2"/>
  <c r="I13" i="2"/>
  <c r="I9" i="2"/>
  <c r="I32" i="2"/>
  <c r="I28" i="2"/>
  <c r="I24" i="2"/>
  <c r="I20" i="2"/>
  <c r="I16" i="2"/>
  <c r="I12" i="2"/>
  <c r="I35" i="2"/>
  <c r="I31" i="2"/>
  <c r="I27" i="2"/>
  <c r="I23" i="2"/>
  <c r="I19" i="2"/>
  <c r="I15" i="2"/>
  <c r="I11" i="2"/>
  <c r="J7" i="2"/>
</calcChain>
</file>

<file path=xl/sharedStrings.xml><?xml version="1.0" encoding="utf-8"?>
<sst xmlns="http://schemas.openxmlformats.org/spreadsheetml/2006/main" count="103" uniqueCount="41">
  <si>
    <t>Повышение/ понижение цены</t>
  </si>
  <si>
    <t>Компания</t>
  </si>
  <si>
    <t>Дата начала действия новой закупочной цены</t>
  </si>
  <si>
    <t>Магазин</t>
  </si>
  <si>
    <t>Код базы 1с Глобус</t>
  </si>
  <si>
    <t>Наименивание продукции</t>
  </si>
  <si>
    <t>Повышение/ понижение цены %</t>
  </si>
  <si>
    <t>штрих-код</t>
  </si>
  <si>
    <t>повышение</t>
  </si>
  <si>
    <t>Сети магазинов Умай Групп</t>
  </si>
  <si>
    <t>Мин.вода газир."Кара-Шоро" стекло</t>
  </si>
  <si>
    <t>0.45</t>
  </si>
  <si>
    <t>Мин.вода газир.Жалал-Абад№27</t>
  </si>
  <si>
    <t>0.5</t>
  </si>
  <si>
    <t>1.0</t>
  </si>
  <si>
    <t>1.5</t>
  </si>
  <si>
    <t>Напиток газир. "Лимонад" стекло</t>
  </si>
  <si>
    <t>Напиток газир. "Лимонад"</t>
  </si>
  <si>
    <t>Напиток газир. "Азия Кола"</t>
  </si>
  <si>
    <t>Напиток газир. "Мохито"</t>
  </si>
  <si>
    <t>Напиток газир. "Лимонад экстра Тархун"</t>
  </si>
  <si>
    <t>Напиток газир. "Лимонад экстра Груша"</t>
  </si>
  <si>
    <t>Напиток газир. "Гранат"</t>
  </si>
  <si>
    <t>Напиток газир. "К+ Витамины"</t>
  </si>
  <si>
    <t>Напиток газир. "Буратино"</t>
  </si>
  <si>
    <t>Напиток газир. "Дюшес"</t>
  </si>
  <si>
    <t>Негаз-ая Артезианская вода Гималаи</t>
  </si>
  <si>
    <t>5.0</t>
  </si>
  <si>
    <t>10.0</t>
  </si>
  <si>
    <t>Ледниковая вода негаз. Адыгене</t>
  </si>
  <si>
    <t>Ледниковая вода негаз. Адыгене Лимон</t>
  </si>
  <si>
    <t>Ледниковая вода негаз. Адыгене Мята</t>
  </si>
  <si>
    <t>Объем в литрах</t>
  </si>
  <si>
    <t xml:space="preserve">Мин.вода газир.Жалал-Абад№27 </t>
  </si>
  <si>
    <t>№</t>
  </si>
  <si>
    <t>Цена Без НДС и НсП</t>
  </si>
  <si>
    <t>НДС 12%</t>
  </si>
  <si>
    <t>НсП 1%</t>
  </si>
  <si>
    <t>Старая цена С НДС и НсП</t>
  </si>
  <si>
    <t>Новая цена Без НДС и НсП</t>
  </si>
  <si>
    <t>Новая цена с НДС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</si>
</sst>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₽_-;\-* #,##0.00\ _₽_-;_-* &quot;-&quot;??\ _₽_-;_-@_-"/>
    <numFmt numFmtId="165" formatCode="[$-F800]dddd\,\ mmmm\ dd\,\ yyyy"/>
    <numFmt numFmtId="166" formatCode="#,##0_ ;[Red]\-#,##0\ "/>
  </numFmts>
  <fonts count="16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2"/>
      <color rgb="FF000000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2"/>
      <name val="Calibri"/>
      <family val="2"/>
      <charset val="204"/>
      <scheme val="minor"/>
    </font>
    <font>
      <sz val="8"/>
      <name val="Arial"/>
      <family val="2"/>
    </font>
    <font>
      <sz val="11"/>
      <name val="Calibri"/>
      <family val="2"/>
      <charset val="204"/>
      <scheme val="minor"/>
    </font>
    <font>
      <sz val="9"/>
      <color theme="1"/>
      <name val="Times New Roman"/>
      <family val="1"/>
      <charset val="204"/>
    </font>
    <font>
      <sz val="8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0"/>
      <name val="Times New Roman"/>
      <family val="1"/>
      <charset val="204"/>
    </font>
    <font>
      <sz val="11"/>
      <color rgb="FF000000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9" fillId="0" borderId="0">
      <alignment horizontal="left"/>
    </xf>
  </cellStyleXfs>
  <cellXfs count="45">
    <xf numFmtId="0" fontId="0" fillId="0" borderId="0" xfId="0"/>
    <xf numFmtId="0" fontId="2" fillId="0" borderId="1" xfId="0" applyFont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0" fillId="0" borderId="0" xfId="0" applyFont="1"/>
    <xf numFmtId="10" fontId="0" fillId="0" borderId="0" xfId="0" applyNumberFormat="1" applyFont="1"/>
    <xf numFmtId="0" fontId="6" fillId="0" borderId="1" xfId="0" applyFont="1" applyBorder="1" applyAlignment="1">
      <alignment horizontal="center"/>
    </xf>
    <xf numFmtId="10" fontId="5" fillId="0" borderId="1" xfId="0" applyNumberFormat="1" applyFont="1" applyBorder="1" applyAlignment="1">
      <alignment horizontal="center"/>
    </xf>
    <xf numFmtId="165" fontId="7" fillId="3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wrapText="1"/>
    </xf>
    <xf numFmtId="49" fontId="11" fillId="0" borderId="1" xfId="0" applyNumberFormat="1" applyFont="1" applyFill="1" applyBorder="1" applyAlignment="1">
      <alignment horizontal="center" vertical="center"/>
    </xf>
    <xf numFmtId="0" fontId="0" fillId="0" borderId="1" xfId="0" applyBorder="1"/>
    <xf numFmtId="49" fontId="0" fillId="0" borderId="1" xfId="0" applyNumberFormat="1" applyBorder="1" applyAlignment="1">
      <alignment horizontal="center" vertical="center"/>
    </xf>
    <xf numFmtId="49" fontId="10" fillId="0" borderId="0" xfId="6" applyNumberFormat="1" applyFont="1" applyFill="1" applyBorder="1" applyAlignment="1">
      <alignment horizontal="center" vertical="center" wrapText="1"/>
    </xf>
    <xf numFmtId="0" fontId="0" fillId="0" borderId="0" xfId="0" applyBorder="1"/>
    <xf numFmtId="49" fontId="0" fillId="0" borderId="0" xfId="0" applyNumberFormat="1" applyBorder="1" applyAlignment="1">
      <alignment horizontal="center" vertical="center"/>
    </xf>
    <xf numFmtId="2" fontId="0" fillId="0" borderId="0" xfId="0" applyNumberFormat="1" applyBorder="1" applyAlignment="1">
      <alignment horizontal="center" vertical="center"/>
    </xf>
    <xf numFmtId="9" fontId="6" fillId="0" borderId="0" xfId="0" applyNumberFormat="1" applyFont="1" applyBorder="1" applyAlignment="1">
      <alignment horizontal="center"/>
    </xf>
    <xf numFmtId="9" fontId="6" fillId="0" borderId="0" xfId="1" applyFont="1" applyFill="1" applyBorder="1" applyAlignment="1">
      <alignment horizontal="center"/>
    </xf>
    <xf numFmtId="164" fontId="8" fillId="0" borderId="0" xfId="5" applyFont="1" applyFill="1" applyBorder="1" applyAlignment="1">
      <alignment horizontal="center" vertical="center"/>
    </xf>
    <xf numFmtId="0" fontId="6" fillId="0" borderId="0" xfId="0" applyFont="1" applyBorder="1" applyAlignment="1">
      <alignment horizontal="center"/>
    </xf>
    <xf numFmtId="10" fontId="5" fillId="0" borderId="0" xfId="0" applyNumberFormat="1" applyFont="1" applyBorder="1" applyAlignment="1">
      <alignment horizontal="center"/>
    </xf>
    <xf numFmtId="0" fontId="10" fillId="0" borderId="0" xfId="6" applyFont="1" applyFill="1" applyBorder="1" applyAlignment="1">
      <alignment horizontal="left" vertical="center" wrapText="1"/>
    </xf>
    <xf numFmtId="2" fontId="0" fillId="0" borderId="0" xfId="0" applyNumberFormat="1" applyFont="1" applyBorder="1" applyProtection="1">
      <protection locked="0"/>
    </xf>
    <xf numFmtId="0" fontId="5" fillId="0" borderId="1" xfId="0" applyNumberFormat="1" applyFont="1" applyFill="1" applyBorder="1" applyAlignment="1">
      <alignment horizontal="center"/>
    </xf>
    <xf numFmtId="0" fontId="0" fillId="0" borderId="1" xfId="0" applyFont="1" applyBorder="1"/>
    <xf numFmtId="0" fontId="0" fillId="0" borderId="1" xfId="0" applyNumberFormat="1" applyBorder="1" applyAlignment="1">
      <alignment horizontal="center" vertical="center"/>
    </xf>
    <xf numFmtId="2" fontId="15" fillId="0" borderId="1" xfId="0" applyNumberFormat="1" applyFont="1" applyBorder="1" applyAlignment="1">
      <alignment horizontal="center"/>
    </xf>
    <xf numFmtId="2" fontId="0" fillId="0" borderId="1" xfId="0" applyNumberFormat="1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166" fontId="13" fillId="0" borderId="1" xfId="5" applyNumberFormat="1" applyFont="1" applyBorder="1" applyAlignment="1">
      <alignment horizontal="center" vertical="center" wrapText="1"/>
    </xf>
    <xf numFmtId="166" fontId="14" fillId="0" borderId="1" xfId="5" applyNumberFormat="1" applyFont="1" applyFill="1" applyBorder="1" applyAlignment="1">
      <alignment horizontal="center" vertical="center" wrapText="1"/>
    </xf>
    <xf numFmtId="166" fontId="14" fillId="0" borderId="1" xfId="5" applyNumberFormat="1" applyFont="1" applyBorder="1" applyAlignment="1">
      <alignment horizontal="center" vertical="center" wrapText="1"/>
    </xf>
    <xf numFmtId="0" fontId="4" fillId="2" borderId="1" xfId="0" applyNumberFormat="1" applyFont="1" applyFill="1" applyBorder="1" applyAlignment="1">
      <alignment horizontal="center" vertical="center" wrapText="1"/>
    </xf>
    <xf numFmtId="2" fontId="4" fillId="2" borderId="1" xfId="0" applyNumberFormat="1" applyFont="1" applyFill="1" applyBorder="1" applyAlignment="1">
      <alignment horizontal="center" vertical="center" wrapText="1"/>
    </xf>
    <xf numFmtId="9" fontId="4" fillId="2" borderId="1" xfId="1" applyFont="1" applyFill="1" applyBorder="1" applyAlignment="1">
      <alignment horizontal="center" vertical="center" wrapText="1"/>
    </xf>
    <xf numFmtId="10" fontId="4" fillId="2" borderId="1" xfId="1" applyNumberFormat="1" applyFont="1" applyFill="1" applyBorder="1" applyAlignment="1">
      <alignment horizontal="center" vertical="center" wrapText="1"/>
    </xf>
    <xf numFmtId="2" fontId="4" fillId="2" borderId="1" xfId="5" applyNumberFormat="1" applyFont="1" applyFill="1" applyBorder="1" applyAlignment="1">
      <alignment horizontal="center" vertical="center" wrapText="1"/>
    </xf>
    <xf numFmtId="0" fontId="0" fillId="0" borderId="0" xfId="0" applyNumberFormat="1" applyBorder="1" applyAlignment="1">
      <alignment horizontal="center" vertical="center"/>
    </xf>
    <xf numFmtId="0" fontId="10" fillId="0" borderId="0" xfId="6" applyNumberFormat="1" applyFont="1" applyFill="1" applyBorder="1" applyAlignment="1">
      <alignment horizontal="left" vertical="center" wrapText="1"/>
    </xf>
    <xf numFmtId="0" fontId="0" fillId="0" borderId="0" xfId="0" applyNumberFormat="1" applyFont="1"/>
    <xf numFmtId="0" fontId="6" fillId="0" borderId="1" xfId="1" applyNumberFormat="1" applyFont="1" applyBorder="1" applyAlignment="1">
      <alignment horizontal="center"/>
    </xf>
    <xf numFmtId="0" fontId="6" fillId="0" borderId="1" xfId="1" applyNumberFormat="1" applyFont="1" applyFill="1" applyBorder="1" applyAlignment="1">
      <alignment horizontal="center"/>
    </xf>
  </cellXfs>
  <cellStyles count="7">
    <cellStyle name="Обычный" xfId="0" builtinId="0"/>
    <cellStyle name="Обычный 2" xfId="2" xr:uid="{00000000-0005-0000-0000-000001000000}"/>
    <cellStyle name="Обычный_Лист1 2" xfId="6" xr:uid="{00000000-0005-0000-0000-000002000000}"/>
    <cellStyle name="Процентный" xfId="1" builtinId="5"/>
    <cellStyle name="Процентный 2" xfId="4" xr:uid="{00000000-0005-0000-0000-000005000000}"/>
    <cellStyle name="Финансовый" xfId="5" builtinId="3"/>
    <cellStyle name="Финансовый 2" xfId="3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0"/>
  <sheetViews>
    <sheetView tabSelected="1" topLeftCell="C1" zoomScaleNormal="100" workbookViewId="0">
      <selection activeCell="R20" sqref="Q1:R1048576"/>
    </sheetView>
  </sheetViews>
  <sheetFormatPr defaultRowHeight="15" x14ac:dyDescent="0.25"/>
  <cols>
    <col min="1" max="1" width="5" style="3" customWidth="1"/>
    <col min="2" max="2" width="10.7109375" style="3" customWidth="1"/>
    <col min="3" max="3" width="20.5703125" style="3" customWidth="1"/>
    <col min="4" max="4" width="53.28515625" style="3" customWidth="1"/>
    <col min="5" max="5" width="9.42578125" style="3" customWidth="1"/>
    <col min="6" max="6" width="12" style="42" bestFit="1" customWidth="1"/>
    <col min="7" max="7" width="15.5703125" style="3" customWidth="1"/>
    <col min="8" max="8" width="12" style="3" bestFit="1" customWidth="1"/>
    <col min="9" max="9" width="7.140625" style="3" bestFit="1" customWidth="1"/>
    <col min="10" max="10" width="5.85546875" style="3" customWidth="1"/>
    <col min="11" max="11" width="12.85546875" style="3" bestFit="1" customWidth="1"/>
    <col min="12" max="12" width="14.42578125" style="3" customWidth="1"/>
    <col min="13" max="13" width="15.42578125" style="4" customWidth="1"/>
    <col min="14" max="16384" width="9.140625" style="3"/>
  </cols>
  <sheetData>
    <row r="1" spans="1:13" x14ac:dyDescent="0.25">
      <c r="D1" s="1" t="s">
        <v>1</v>
      </c>
      <c r="E1" s="1"/>
      <c r="F1" s="1"/>
      <c r="G1" s="2"/>
    </row>
    <row r="2" spans="1:13" ht="15.75" x14ac:dyDescent="0.25">
      <c r="D2" s="1" t="s">
        <v>2</v>
      </c>
      <c r="E2" s="1"/>
      <c r="F2" s="1"/>
      <c r="G2" s="7"/>
    </row>
    <row r="3" spans="1:13" ht="30" x14ac:dyDescent="0.25">
      <c r="D3" s="1" t="s">
        <v>3</v>
      </c>
      <c r="E3" s="1"/>
      <c r="F3" s="1"/>
      <c r="G3" s="8" t="s">
        <v>9</v>
      </c>
    </row>
    <row r="4" spans="1:13" x14ac:dyDescent="0.25">
      <c r="F4" s="3"/>
    </row>
    <row r="5" spans="1:13" x14ac:dyDescent="0.25">
      <c r="F5" s="3"/>
    </row>
    <row r="6" spans="1:13" ht="45" x14ac:dyDescent="0.25">
      <c r="A6" s="30" t="s">
        <v>34</v>
      </c>
      <c r="B6" s="35" t="s">
        <v>4</v>
      </c>
      <c r="C6" s="39" t="s">
        <v>7</v>
      </c>
      <c r="D6" s="35" t="s">
        <v>5</v>
      </c>
      <c r="E6" s="35" t="s">
        <v>32</v>
      </c>
      <c r="F6" s="35" t="s">
        <v>35</v>
      </c>
      <c r="G6" s="36" t="s">
        <v>38</v>
      </c>
      <c r="H6" s="36" t="s">
        <v>39</v>
      </c>
      <c r="I6" s="35" t="s">
        <v>36</v>
      </c>
      <c r="J6" s="35" t="s">
        <v>37</v>
      </c>
      <c r="K6" s="35" t="s">
        <v>40</v>
      </c>
      <c r="L6" s="37" t="s">
        <v>0</v>
      </c>
      <c r="M6" s="38" t="s">
        <v>6</v>
      </c>
    </row>
    <row r="7" spans="1:13" ht="15.75" x14ac:dyDescent="0.25">
      <c r="A7" s="31">
        <v>1</v>
      </c>
      <c r="B7" s="9"/>
      <c r="C7" s="32">
        <v>4700000310067</v>
      </c>
      <c r="D7" s="10" t="s">
        <v>10</v>
      </c>
      <c r="E7" s="11" t="s">
        <v>11</v>
      </c>
      <c r="F7" s="25">
        <f>G7/1.13</f>
        <v>81.415929203539832</v>
      </c>
      <c r="G7" s="28">
        <v>92</v>
      </c>
      <c r="H7" s="27">
        <f>K7/1.13</f>
        <v>84.955752212389385</v>
      </c>
      <c r="I7" s="43">
        <f>H7*12%</f>
        <v>10.194690265486726</v>
      </c>
      <c r="J7" s="44">
        <f>H7*1%</f>
        <v>0.8495575221238939</v>
      </c>
      <c r="K7" s="27">
        <v>96</v>
      </c>
      <c r="L7" s="5" t="s">
        <v>8</v>
      </c>
      <c r="M7" s="6">
        <f>K7/G7-1</f>
        <v>4.3478260869565188E-2</v>
      </c>
    </row>
    <row r="8" spans="1:13" ht="15.75" x14ac:dyDescent="0.25">
      <c r="A8" s="31">
        <v>2</v>
      </c>
      <c r="B8" s="9"/>
      <c r="C8" s="33">
        <v>4700000310036</v>
      </c>
      <c r="D8" s="10" t="s">
        <v>12</v>
      </c>
      <c r="E8" s="11" t="s">
        <v>11</v>
      </c>
      <c r="F8" s="25">
        <f t="shared" ref="F8:F35" si="0">G8/1.13</f>
        <v>55.973451327433636</v>
      </c>
      <c r="G8" s="28">
        <v>63.25</v>
      </c>
      <c r="H8" s="27">
        <f>K8/1.13</f>
        <v>63.716814159292042</v>
      </c>
      <c r="I8" s="43">
        <f t="shared" ref="I8:I35" si="1">H8*12%</f>
        <v>7.6460176991150446</v>
      </c>
      <c r="J8" s="44">
        <f t="shared" ref="J8:J35" si="2">H8*1%</f>
        <v>0.63716814159292046</v>
      </c>
      <c r="K8" s="27">
        <v>72</v>
      </c>
      <c r="L8" s="5" t="s">
        <v>8</v>
      </c>
      <c r="M8" s="6">
        <f t="shared" ref="M8:M35" si="3">K8/G8-1</f>
        <v>0.13833992094861669</v>
      </c>
    </row>
    <row r="9" spans="1:13" ht="15.75" x14ac:dyDescent="0.25">
      <c r="A9" s="31">
        <v>3</v>
      </c>
      <c r="B9" s="9"/>
      <c r="C9" s="32">
        <v>4700000310036</v>
      </c>
      <c r="D9" s="10" t="s">
        <v>33</v>
      </c>
      <c r="E9" s="11" t="s">
        <v>13</v>
      </c>
      <c r="F9" s="25">
        <f t="shared" si="0"/>
        <v>30.530973451327437</v>
      </c>
      <c r="G9" s="28">
        <v>34.5</v>
      </c>
      <c r="H9" s="27">
        <f t="shared" ref="H9:H35" si="4">K9/1.13</f>
        <v>35.398230088495581</v>
      </c>
      <c r="I9" s="43">
        <f t="shared" si="1"/>
        <v>4.2477876106194694</v>
      </c>
      <c r="J9" s="44">
        <f t="shared" si="2"/>
        <v>0.3539823008849558</v>
      </c>
      <c r="K9" s="27">
        <v>40</v>
      </c>
      <c r="L9" s="5" t="s">
        <v>8</v>
      </c>
      <c r="M9" s="6">
        <f t="shared" si="3"/>
        <v>0.15942028985507251</v>
      </c>
    </row>
    <row r="10" spans="1:13" ht="15.75" x14ac:dyDescent="0.25">
      <c r="A10" s="31">
        <v>4</v>
      </c>
      <c r="B10" s="9"/>
      <c r="C10" s="33">
        <v>4700000310043</v>
      </c>
      <c r="D10" s="10" t="s">
        <v>12</v>
      </c>
      <c r="E10" s="11" t="s">
        <v>14</v>
      </c>
      <c r="F10" s="25">
        <f t="shared" si="0"/>
        <v>42.743362831858406</v>
      </c>
      <c r="G10" s="28">
        <v>48.3</v>
      </c>
      <c r="H10" s="27">
        <f t="shared" si="4"/>
        <v>49.557522123893811</v>
      </c>
      <c r="I10" s="43">
        <f t="shared" si="1"/>
        <v>5.946902654867257</v>
      </c>
      <c r="J10" s="44">
        <f t="shared" si="2"/>
        <v>0.4955752212389381</v>
      </c>
      <c r="K10" s="27">
        <v>56</v>
      </c>
      <c r="L10" s="5" t="s">
        <v>8</v>
      </c>
      <c r="M10" s="6">
        <f t="shared" si="3"/>
        <v>0.15942028985507251</v>
      </c>
    </row>
    <row r="11" spans="1:13" ht="15.75" x14ac:dyDescent="0.25">
      <c r="A11" s="31">
        <v>5</v>
      </c>
      <c r="B11" s="9"/>
      <c r="C11" s="32">
        <v>4700000310050</v>
      </c>
      <c r="D11" s="10" t="s">
        <v>12</v>
      </c>
      <c r="E11" s="11" t="s">
        <v>15</v>
      </c>
      <c r="F11" s="25">
        <f t="shared" si="0"/>
        <v>50.884955752212392</v>
      </c>
      <c r="G11" s="28">
        <v>57.5</v>
      </c>
      <c r="H11" s="27">
        <f t="shared" si="4"/>
        <v>60.176991150442483</v>
      </c>
      <c r="I11" s="43">
        <f t="shared" si="1"/>
        <v>7.2212389380530979</v>
      </c>
      <c r="J11" s="44">
        <f t="shared" si="2"/>
        <v>0.60176991150442483</v>
      </c>
      <c r="K11" s="27">
        <v>68</v>
      </c>
      <c r="L11" s="5" t="s">
        <v>8</v>
      </c>
      <c r="M11" s="6">
        <f t="shared" si="3"/>
        <v>0.18260869565217397</v>
      </c>
    </row>
    <row r="12" spans="1:13" ht="15.75" x14ac:dyDescent="0.25">
      <c r="A12" s="31">
        <v>6</v>
      </c>
      <c r="B12" s="9"/>
      <c r="C12" s="33">
        <v>4700000310173</v>
      </c>
      <c r="D12" s="10" t="s">
        <v>16</v>
      </c>
      <c r="E12" s="11" t="s">
        <v>11</v>
      </c>
      <c r="F12" s="25">
        <f t="shared" si="0"/>
        <v>61.061946902654874</v>
      </c>
      <c r="G12" s="28">
        <v>69</v>
      </c>
      <c r="H12" s="27">
        <f t="shared" si="4"/>
        <v>69.026548672566378</v>
      </c>
      <c r="I12" s="43">
        <f t="shared" si="1"/>
        <v>8.283185840707965</v>
      </c>
      <c r="J12" s="44">
        <f t="shared" si="2"/>
        <v>0.69026548672566379</v>
      </c>
      <c r="K12" s="27">
        <v>78</v>
      </c>
      <c r="L12" s="5" t="s">
        <v>8</v>
      </c>
      <c r="M12" s="6">
        <f t="shared" si="3"/>
        <v>0.13043478260869557</v>
      </c>
    </row>
    <row r="13" spans="1:13" ht="15.75" x14ac:dyDescent="0.25">
      <c r="A13" s="31">
        <v>7</v>
      </c>
      <c r="B13" s="9"/>
      <c r="C13" s="34">
        <v>4700000310258</v>
      </c>
      <c r="D13" s="10" t="s">
        <v>17</v>
      </c>
      <c r="E13" s="11" t="s">
        <v>14</v>
      </c>
      <c r="F13" s="25">
        <f t="shared" si="0"/>
        <v>55.973451327433636</v>
      </c>
      <c r="G13" s="28">
        <v>63.25</v>
      </c>
      <c r="H13" s="27">
        <f t="shared" si="4"/>
        <v>63.716814159292042</v>
      </c>
      <c r="I13" s="43">
        <f t="shared" si="1"/>
        <v>7.6460176991150446</v>
      </c>
      <c r="J13" s="44">
        <f t="shared" si="2"/>
        <v>0.63716814159292046</v>
      </c>
      <c r="K13" s="27">
        <v>72</v>
      </c>
      <c r="L13" s="5" t="s">
        <v>8</v>
      </c>
      <c r="M13" s="6">
        <f t="shared" si="3"/>
        <v>0.13833992094861669</v>
      </c>
    </row>
    <row r="14" spans="1:13" ht="15.75" x14ac:dyDescent="0.25">
      <c r="A14" s="31">
        <v>8</v>
      </c>
      <c r="B14" s="9"/>
      <c r="C14" s="34">
        <v>4700000310227</v>
      </c>
      <c r="D14" s="10" t="s">
        <v>17</v>
      </c>
      <c r="E14" s="11" t="s">
        <v>15</v>
      </c>
      <c r="F14" s="25">
        <f t="shared" si="0"/>
        <v>71.238938053097357</v>
      </c>
      <c r="G14" s="28">
        <v>80.5</v>
      </c>
      <c r="H14" s="27">
        <f t="shared" si="4"/>
        <v>79.646017699115049</v>
      </c>
      <c r="I14" s="43">
        <f t="shared" si="1"/>
        <v>9.557522123893806</v>
      </c>
      <c r="J14" s="44">
        <f t="shared" si="2"/>
        <v>0.79646017699115046</v>
      </c>
      <c r="K14" s="27">
        <v>90</v>
      </c>
      <c r="L14" s="5" t="s">
        <v>8</v>
      </c>
      <c r="M14" s="6">
        <f t="shared" si="3"/>
        <v>0.11801242236024834</v>
      </c>
    </row>
    <row r="15" spans="1:13" ht="15.75" x14ac:dyDescent="0.25">
      <c r="A15" s="31">
        <v>9</v>
      </c>
      <c r="B15" s="9"/>
      <c r="C15" s="33">
        <v>4700000310432</v>
      </c>
      <c r="D15" s="10" t="s">
        <v>18</v>
      </c>
      <c r="E15" s="11" t="s">
        <v>14</v>
      </c>
      <c r="F15" s="25">
        <f t="shared" si="0"/>
        <v>55.973451327433636</v>
      </c>
      <c r="G15" s="28">
        <v>63.25</v>
      </c>
      <c r="H15" s="27">
        <f t="shared" si="4"/>
        <v>63.716814159292042</v>
      </c>
      <c r="I15" s="43">
        <f t="shared" si="1"/>
        <v>7.6460176991150446</v>
      </c>
      <c r="J15" s="44">
        <f t="shared" si="2"/>
        <v>0.63716814159292046</v>
      </c>
      <c r="K15" s="27">
        <v>72</v>
      </c>
      <c r="L15" s="5" t="s">
        <v>8</v>
      </c>
      <c r="M15" s="6">
        <f t="shared" si="3"/>
        <v>0.13833992094861669</v>
      </c>
    </row>
    <row r="16" spans="1:13" ht="15.75" x14ac:dyDescent="0.25">
      <c r="A16" s="31">
        <v>10</v>
      </c>
      <c r="B16" s="9"/>
      <c r="C16" s="32">
        <v>4700000310531</v>
      </c>
      <c r="D16" s="10" t="s">
        <v>19</v>
      </c>
      <c r="E16" s="11" t="s">
        <v>14</v>
      </c>
      <c r="F16" s="25">
        <f t="shared" si="0"/>
        <v>63.716814159292042</v>
      </c>
      <c r="G16" s="29">
        <v>72</v>
      </c>
      <c r="H16" s="27">
        <f t="shared" si="4"/>
        <v>63.716814159292042</v>
      </c>
      <c r="I16" s="43">
        <f t="shared" si="1"/>
        <v>7.6460176991150446</v>
      </c>
      <c r="J16" s="44">
        <f t="shared" si="2"/>
        <v>0.63716814159292046</v>
      </c>
      <c r="K16" s="29">
        <v>72</v>
      </c>
      <c r="L16" s="5" t="s">
        <v>8</v>
      </c>
      <c r="M16" s="6">
        <f t="shared" si="3"/>
        <v>0</v>
      </c>
    </row>
    <row r="17" spans="1:13" ht="15.75" x14ac:dyDescent="0.25">
      <c r="A17" s="31">
        <v>11</v>
      </c>
      <c r="B17" s="9"/>
      <c r="C17" s="33">
        <v>4700000310081</v>
      </c>
      <c r="D17" s="10" t="s">
        <v>20</v>
      </c>
      <c r="E17" s="11" t="s">
        <v>14</v>
      </c>
      <c r="F17" s="25">
        <f t="shared" si="0"/>
        <v>55.973451327433636</v>
      </c>
      <c r="G17" s="28">
        <v>63.25</v>
      </c>
      <c r="H17" s="27">
        <f t="shared" si="4"/>
        <v>63.716814159292042</v>
      </c>
      <c r="I17" s="43">
        <f t="shared" si="1"/>
        <v>7.6460176991150446</v>
      </c>
      <c r="J17" s="44">
        <f t="shared" si="2"/>
        <v>0.63716814159292046</v>
      </c>
      <c r="K17" s="27">
        <v>72</v>
      </c>
      <c r="L17" s="5" t="s">
        <v>8</v>
      </c>
      <c r="M17" s="6">
        <f t="shared" si="3"/>
        <v>0.13833992094861669</v>
      </c>
    </row>
    <row r="18" spans="1:13" ht="15.75" x14ac:dyDescent="0.25">
      <c r="A18" s="31">
        <v>12</v>
      </c>
      <c r="B18" s="9"/>
      <c r="C18" s="33">
        <v>4700000310074</v>
      </c>
      <c r="D18" s="10" t="s">
        <v>21</v>
      </c>
      <c r="E18" s="11" t="s">
        <v>14</v>
      </c>
      <c r="F18" s="25">
        <f t="shared" si="0"/>
        <v>55.973451327433636</v>
      </c>
      <c r="G18" s="28">
        <v>63.25</v>
      </c>
      <c r="H18" s="27">
        <f t="shared" si="4"/>
        <v>63.716814159292042</v>
      </c>
      <c r="I18" s="43">
        <f t="shared" si="1"/>
        <v>7.6460176991150446</v>
      </c>
      <c r="J18" s="44">
        <f t="shared" si="2"/>
        <v>0.63716814159292046</v>
      </c>
      <c r="K18" s="27">
        <v>72</v>
      </c>
      <c r="L18" s="5" t="s">
        <v>8</v>
      </c>
      <c r="M18" s="6">
        <f t="shared" si="3"/>
        <v>0.13833992094861669</v>
      </c>
    </row>
    <row r="19" spans="1:13" ht="15.75" x14ac:dyDescent="0.25">
      <c r="A19" s="31">
        <v>13</v>
      </c>
      <c r="B19" s="9"/>
      <c r="C19" s="32">
        <v>4700000310456</v>
      </c>
      <c r="D19" s="10" t="s">
        <v>22</v>
      </c>
      <c r="E19" s="11" t="s">
        <v>14</v>
      </c>
      <c r="F19" s="25">
        <f t="shared" si="0"/>
        <v>61.061946902654874</v>
      </c>
      <c r="G19" s="28">
        <v>69</v>
      </c>
      <c r="H19" s="27">
        <f t="shared" si="4"/>
        <v>63.716814159292042</v>
      </c>
      <c r="I19" s="43">
        <f t="shared" si="1"/>
        <v>7.6460176991150446</v>
      </c>
      <c r="J19" s="44">
        <f t="shared" si="2"/>
        <v>0.63716814159292046</v>
      </c>
      <c r="K19" s="27">
        <v>72</v>
      </c>
      <c r="L19" s="5" t="s">
        <v>8</v>
      </c>
      <c r="M19" s="6">
        <f t="shared" si="3"/>
        <v>4.3478260869565188E-2</v>
      </c>
    </row>
    <row r="20" spans="1:13" ht="15.75" x14ac:dyDescent="0.25">
      <c r="A20" s="31">
        <v>14</v>
      </c>
      <c r="B20" s="9"/>
      <c r="C20" s="33">
        <v>4700000310234</v>
      </c>
      <c r="D20" s="10" t="s">
        <v>23</v>
      </c>
      <c r="E20" s="11" t="s">
        <v>14</v>
      </c>
      <c r="F20" s="25">
        <f t="shared" si="0"/>
        <v>40.707964601769916</v>
      </c>
      <c r="G20" s="28">
        <v>46</v>
      </c>
      <c r="H20" s="27">
        <f t="shared" si="4"/>
        <v>47.787610619469028</v>
      </c>
      <c r="I20" s="43">
        <f t="shared" si="1"/>
        <v>5.7345132743362832</v>
      </c>
      <c r="J20" s="44">
        <f t="shared" si="2"/>
        <v>0.47787610619469029</v>
      </c>
      <c r="K20" s="27">
        <v>54</v>
      </c>
      <c r="L20" s="5" t="s">
        <v>8</v>
      </c>
      <c r="M20" s="6">
        <f t="shared" si="3"/>
        <v>0.17391304347826098</v>
      </c>
    </row>
    <row r="21" spans="1:13" ht="15.75" x14ac:dyDescent="0.25">
      <c r="A21" s="31">
        <v>15</v>
      </c>
      <c r="B21" s="9"/>
      <c r="C21" s="33">
        <v>4700000310210</v>
      </c>
      <c r="D21" s="10" t="s">
        <v>24</v>
      </c>
      <c r="E21" s="11" t="s">
        <v>14</v>
      </c>
      <c r="F21" s="25">
        <f t="shared" si="0"/>
        <v>30.530973451327437</v>
      </c>
      <c r="G21" s="28">
        <v>34.5</v>
      </c>
      <c r="H21" s="27">
        <f t="shared" si="4"/>
        <v>35.398230088495581</v>
      </c>
      <c r="I21" s="43">
        <f t="shared" si="1"/>
        <v>4.2477876106194694</v>
      </c>
      <c r="J21" s="44">
        <f t="shared" si="2"/>
        <v>0.3539823008849558</v>
      </c>
      <c r="K21" s="27">
        <v>40</v>
      </c>
      <c r="L21" s="5" t="s">
        <v>8</v>
      </c>
      <c r="M21" s="6">
        <f t="shared" si="3"/>
        <v>0.15942028985507251</v>
      </c>
    </row>
    <row r="22" spans="1:13" ht="15.75" x14ac:dyDescent="0.25">
      <c r="A22" s="31">
        <v>16</v>
      </c>
      <c r="B22" s="9"/>
      <c r="C22" s="33">
        <v>4700000310210</v>
      </c>
      <c r="D22" s="10" t="s">
        <v>25</v>
      </c>
      <c r="E22" s="11" t="s">
        <v>14</v>
      </c>
      <c r="F22" s="25">
        <f t="shared" si="0"/>
        <v>30.530973451327437</v>
      </c>
      <c r="G22" s="28">
        <v>34.5</v>
      </c>
      <c r="H22" s="27">
        <f t="shared" si="4"/>
        <v>35.398230088495581</v>
      </c>
      <c r="I22" s="43">
        <f t="shared" si="1"/>
        <v>4.2477876106194694</v>
      </c>
      <c r="J22" s="44">
        <f t="shared" si="2"/>
        <v>0.3539823008849558</v>
      </c>
      <c r="K22" s="27">
        <v>40</v>
      </c>
      <c r="L22" s="5" t="s">
        <v>8</v>
      </c>
      <c r="M22" s="6">
        <f t="shared" si="3"/>
        <v>0.15942028985507251</v>
      </c>
    </row>
    <row r="23" spans="1:13" ht="15.75" x14ac:dyDescent="0.25">
      <c r="A23" s="31">
        <v>17</v>
      </c>
      <c r="B23" s="23"/>
      <c r="C23" s="32">
        <v>4700000310289</v>
      </c>
      <c r="D23" s="10" t="s">
        <v>26</v>
      </c>
      <c r="E23" s="11" t="s">
        <v>13</v>
      </c>
      <c r="F23" s="25">
        <f t="shared" si="0"/>
        <v>15.265486725663719</v>
      </c>
      <c r="G23" s="28">
        <v>17.25</v>
      </c>
      <c r="H23" s="27">
        <f t="shared" si="4"/>
        <v>15.929203539823011</v>
      </c>
      <c r="I23" s="43">
        <f t="shared" si="1"/>
        <v>1.9115044247787611</v>
      </c>
      <c r="J23" s="44">
        <f t="shared" si="2"/>
        <v>0.15929203539823011</v>
      </c>
      <c r="K23" s="26">
        <v>18</v>
      </c>
      <c r="L23" s="5" t="s">
        <v>8</v>
      </c>
      <c r="M23" s="6">
        <f t="shared" si="3"/>
        <v>4.3478260869565188E-2</v>
      </c>
    </row>
    <row r="24" spans="1:13" ht="15.75" x14ac:dyDescent="0.25">
      <c r="A24" s="31">
        <v>18</v>
      </c>
      <c r="B24" s="23"/>
      <c r="C24" s="32">
        <v>4700000310272</v>
      </c>
      <c r="D24" s="10" t="s">
        <v>26</v>
      </c>
      <c r="E24" s="11" t="s">
        <v>14</v>
      </c>
      <c r="F24" s="25">
        <f t="shared" si="0"/>
        <v>20.353982300884958</v>
      </c>
      <c r="G24" s="28">
        <v>23</v>
      </c>
      <c r="H24" s="27">
        <f t="shared" si="4"/>
        <v>21.238938053097346</v>
      </c>
      <c r="I24" s="43">
        <f t="shared" si="1"/>
        <v>2.5486725663716814</v>
      </c>
      <c r="J24" s="44">
        <f t="shared" si="2"/>
        <v>0.21238938053097348</v>
      </c>
      <c r="K24" s="26">
        <v>24</v>
      </c>
      <c r="L24" s="5" t="s">
        <v>8</v>
      </c>
      <c r="M24" s="6">
        <f t="shared" si="3"/>
        <v>4.3478260869565188E-2</v>
      </c>
    </row>
    <row r="25" spans="1:13" ht="15.75" x14ac:dyDescent="0.25">
      <c r="A25" s="31">
        <v>19</v>
      </c>
      <c r="B25" s="24"/>
      <c r="C25" s="32">
        <v>4700000310203</v>
      </c>
      <c r="D25" s="10" t="s">
        <v>26</v>
      </c>
      <c r="E25" s="11" t="s">
        <v>27</v>
      </c>
      <c r="F25" s="25">
        <f t="shared" si="0"/>
        <v>50.884955752212392</v>
      </c>
      <c r="G25" s="28">
        <v>57.5</v>
      </c>
      <c r="H25" s="27">
        <f t="shared" si="4"/>
        <v>58.407079646017706</v>
      </c>
      <c r="I25" s="43">
        <f t="shared" si="1"/>
        <v>7.0088495575221241</v>
      </c>
      <c r="J25" s="44">
        <f t="shared" si="2"/>
        <v>0.58407079646017712</v>
      </c>
      <c r="K25" s="26">
        <v>66</v>
      </c>
      <c r="L25" s="5" t="s">
        <v>8</v>
      </c>
      <c r="M25" s="6">
        <f t="shared" si="3"/>
        <v>0.14782608695652177</v>
      </c>
    </row>
    <row r="26" spans="1:13" ht="15.75" x14ac:dyDescent="0.25">
      <c r="A26" s="31">
        <v>20</v>
      </c>
      <c r="B26" s="24"/>
      <c r="C26" s="32">
        <v>4700000310012</v>
      </c>
      <c r="D26" s="10" t="s">
        <v>26</v>
      </c>
      <c r="E26" s="11" t="s">
        <v>28</v>
      </c>
      <c r="F26" s="25">
        <f t="shared" si="0"/>
        <v>76.327433628318587</v>
      </c>
      <c r="G26" s="28">
        <v>86.25</v>
      </c>
      <c r="H26" s="27">
        <f t="shared" si="4"/>
        <v>84.955752212389385</v>
      </c>
      <c r="I26" s="43">
        <f t="shared" si="1"/>
        <v>10.194690265486726</v>
      </c>
      <c r="J26" s="44">
        <f t="shared" si="2"/>
        <v>0.8495575221238939</v>
      </c>
      <c r="K26" s="26">
        <v>96</v>
      </c>
      <c r="L26" s="5" t="s">
        <v>8</v>
      </c>
      <c r="M26" s="6">
        <f t="shared" si="3"/>
        <v>0.11304347826086958</v>
      </c>
    </row>
    <row r="27" spans="1:13" ht="15.75" x14ac:dyDescent="0.25">
      <c r="A27" s="31">
        <v>21</v>
      </c>
      <c r="B27" s="24"/>
      <c r="C27" s="32">
        <v>4700000310517</v>
      </c>
      <c r="D27" s="10" t="s">
        <v>29</v>
      </c>
      <c r="E27" s="25">
        <v>0.33</v>
      </c>
      <c r="F27" s="25">
        <f t="shared" si="0"/>
        <v>20.353982300884958</v>
      </c>
      <c r="G27" s="28">
        <v>23</v>
      </c>
      <c r="H27" s="27">
        <f t="shared" si="4"/>
        <v>20.353982300884958</v>
      </c>
      <c r="I27" s="43">
        <f t="shared" si="1"/>
        <v>2.4424778761061949</v>
      </c>
      <c r="J27" s="44">
        <f t="shared" si="2"/>
        <v>0.2035398230088496</v>
      </c>
      <c r="K27" s="26">
        <v>23</v>
      </c>
      <c r="L27" s="5" t="s">
        <v>8</v>
      </c>
      <c r="M27" s="6">
        <f t="shared" si="3"/>
        <v>0</v>
      </c>
    </row>
    <row r="28" spans="1:13" ht="15.75" x14ac:dyDescent="0.25">
      <c r="A28" s="31">
        <v>22</v>
      </c>
      <c r="B28" s="24"/>
      <c r="C28" s="33">
        <v>4700000310173</v>
      </c>
      <c r="D28" s="10" t="s">
        <v>29</v>
      </c>
      <c r="E28" s="11" t="s">
        <v>13</v>
      </c>
      <c r="F28" s="25">
        <f t="shared" si="0"/>
        <v>20.353982300884958</v>
      </c>
      <c r="G28" s="28">
        <v>23</v>
      </c>
      <c r="H28" s="27">
        <f t="shared" si="4"/>
        <v>26.548672566371685</v>
      </c>
      <c r="I28" s="43">
        <f t="shared" si="1"/>
        <v>3.1858407079646023</v>
      </c>
      <c r="J28" s="44">
        <f t="shared" si="2"/>
        <v>0.26548672566371684</v>
      </c>
      <c r="K28" s="26">
        <v>30</v>
      </c>
      <c r="L28" s="5" t="s">
        <v>8</v>
      </c>
      <c r="M28" s="6">
        <f t="shared" si="3"/>
        <v>0.30434782608695654</v>
      </c>
    </row>
    <row r="29" spans="1:13" ht="15.75" x14ac:dyDescent="0.25">
      <c r="A29" s="31">
        <v>23</v>
      </c>
      <c r="B29" s="24"/>
      <c r="C29" s="33">
        <v>4700000310326</v>
      </c>
      <c r="D29" s="10" t="s">
        <v>29</v>
      </c>
      <c r="E29" s="11" t="s">
        <v>14</v>
      </c>
      <c r="F29" s="25">
        <f t="shared" si="0"/>
        <v>25.442477876106196</v>
      </c>
      <c r="G29" s="28">
        <v>28.75</v>
      </c>
      <c r="H29" s="27">
        <f t="shared" si="4"/>
        <v>34.513274336283189</v>
      </c>
      <c r="I29" s="43">
        <f t="shared" si="1"/>
        <v>4.1415929203539825</v>
      </c>
      <c r="J29" s="44">
        <f t="shared" si="2"/>
        <v>0.3451327433628319</v>
      </c>
      <c r="K29" s="26">
        <v>39</v>
      </c>
      <c r="L29" s="5" t="s">
        <v>8</v>
      </c>
      <c r="M29" s="6">
        <f t="shared" si="3"/>
        <v>0.35652173913043472</v>
      </c>
    </row>
    <row r="30" spans="1:13" ht="15.75" x14ac:dyDescent="0.25">
      <c r="A30" s="31">
        <v>24</v>
      </c>
      <c r="B30" s="24"/>
      <c r="C30" s="33">
        <v>4700000310340</v>
      </c>
      <c r="D30" s="10" t="s">
        <v>29</v>
      </c>
      <c r="E30" s="11" t="s">
        <v>27</v>
      </c>
      <c r="F30" s="25">
        <f t="shared" si="0"/>
        <v>61.061946902654874</v>
      </c>
      <c r="G30" s="28">
        <v>69</v>
      </c>
      <c r="H30" s="27">
        <f t="shared" si="4"/>
        <v>69.026548672566378</v>
      </c>
      <c r="I30" s="43">
        <f t="shared" si="1"/>
        <v>8.283185840707965</v>
      </c>
      <c r="J30" s="44">
        <f t="shared" si="2"/>
        <v>0.69026548672566379</v>
      </c>
      <c r="K30" s="26">
        <v>78</v>
      </c>
      <c r="L30" s="5" t="s">
        <v>8</v>
      </c>
      <c r="M30" s="6">
        <f t="shared" si="3"/>
        <v>0.13043478260869557</v>
      </c>
    </row>
    <row r="31" spans="1:13" ht="15.75" x14ac:dyDescent="0.25">
      <c r="A31" s="31">
        <v>25</v>
      </c>
      <c r="B31" s="24"/>
      <c r="C31" s="33">
        <v>4700000310357</v>
      </c>
      <c r="D31" s="10" t="s">
        <v>29</v>
      </c>
      <c r="E31" s="11" t="s">
        <v>28</v>
      </c>
      <c r="F31" s="25">
        <f t="shared" si="0"/>
        <v>91.592920353982308</v>
      </c>
      <c r="G31" s="28">
        <v>103.5</v>
      </c>
      <c r="H31" s="27">
        <f t="shared" si="4"/>
        <v>100.88495575221241</v>
      </c>
      <c r="I31" s="43">
        <f t="shared" si="1"/>
        <v>12.106194690265488</v>
      </c>
      <c r="J31" s="44">
        <f t="shared" si="2"/>
        <v>1.0088495575221241</v>
      </c>
      <c r="K31" s="26">
        <v>114</v>
      </c>
      <c r="L31" s="5" t="s">
        <v>8</v>
      </c>
      <c r="M31" s="6">
        <f t="shared" si="3"/>
        <v>0.10144927536231885</v>
      </c>
    </row>
    <row r="32" spans="1:13" ht="15.75" x14ac:dyDescent="0.25">
      <c r="A32" s="31">
        <v>26</v>
      </c>
      <c r="B32" s="24"/>
      <c r="C32" s="33">
        <v>4700000310180</v>
      </c>
      <c r="D32" s="10" t="s">
        <v>30</v>
      </c>
      <c r="E32" s="11" t="s">
        <v>13</v>
      </c>
      <c r="F32" s="25">
        <f t="shared" si="0"/>
        <v>25.442477876106196</v>
      </c>
      <c r="G32" s="28">
        <v>28.75</v>
      </c>
      <c r="H32" s="27">
        <f t="shared" si="4"/>
        <v>31.858407079646021</v>
      </c>
      <c r="I32" s="43">
        <f t="shared" si="1"/>
        <v>3.8230088495575223</v>
      </c>
      <c r="J32" s="44">
        <f t="shared" si="2"/>
        <v>0.31858407079646023</v>
      </c>
      <c r="K32" s="27">
        <v>36</v>
      </c>
      <c r="L32" s="5" t="s">
        <v>8</v>
      </c>
      <c r="M32" s="6">
        <f t="shared" si="3"/>
        <v>0.25217391304347836</v>
      </c>
    </row>
    <row r="33" spans="1:13" ht="15.75" x14ac:dyDescent="0.25">
      <c r="A33" s="31">
        <v>27</v>
      </c>
      <c r="B33" s="24"/>
      <c r="C33" s="33">
        <v>4700000310401</v>
      </c>
      <c r="D33" s="10" t="s">
        <v>30</v>
      </c>
      <c r="E33" s="11" t="s">
        <v>14</v>
      </c>
      <c r="F33" s="25">
        <f t="shared" si="0"/>
        <v>31.548672566371682</v>
      </c>
      <c r="G33" s="28">
        <v>35.65</v>
      </c>
      <c r="H33" s="27">
        <f t="shared" si="4"/>
        <v>42.477876106194692</v>
      </c>
      <c r="I33" s="43">
        <f t="shared" si="1"/>
        <v>5.0973451327433628</v>
      </c>
      <c r="J33" s="44">
        <f t="shared" si="2"/>
        <v>0.42477876106194695</v>
      </c>
      <c r="K33" s="27">
        <v>48</v>
      </c>
      <c r="L33" s="5" t="s">
        <v>8</v>
      </c>
      <c r="M33" s="6">
        <f t="shared" si="3"/>
        <v>0.34642356241234218</v>
      </c>
    </row>
    <row r="34" spans="1:13" ht="15.75" x14ac:dyDescent="0.25">
      <c r="A34" s="31">
        <v>28</v>
      </c>
      <c r="B34" s="24"/>
      <c r="C34" s="33">
        <v>4700000310197</v>
      </c>
      <c r="D34" s="10" t="s">
        <v>31</v>
      </c>
      <c r="E34" s="11" t="s">
        <v>13</v>
      </c>
      <c r="F34" s="25">
        <f t="shared" si="0"/>
        <v>25.442477876106196</v>
      </c>
      <c r="G34" s="28">
        <v>28.75</v>
      </c>
      <c r="H34" s="27">
        <f t="shared" si="4"/>
        <v>31.858407079646021</v>
      </c>
      <c r="I34" s="43">
        <f t="shared" si="1"/>
        <v>3.8230088495575223</v>
      </c>
      <c r="J34" s="44">
        <f t="shared" si="2"/>
        <v>0.31858407079646023</v>
      </c>
      <c r="K34" s="27">
        <v>36</v>
      </c>
      <c r="L34" s="5" t="s">
        <v>8</v>
      </c>
      <c r="M34" s="6">
        <f t="shared" si="3"/>
        <v>0.25217391304347836</v>
      </c>
    </row>
    <row r="35" spans="1:13" ht="15.75" x14ac:dyDescent="0.25">
      <c r="A35" s="31">
        <v>29</v>
      </c>
      <c r="B35" s="24"/>
      <c r="C35" s="33">
        <v>4700000310111</v>
      </c>
      <c r="D35" s="10" t="s">
        <v>31</v>
      </c>
      <c r="E35" s="11" t="s">
        <v>14</v>
      </c>
      <c r="F35" s="25">
        <f t="shared" si="0"/>
        <v>31.548672566371682</v>
      </c>
      <c r="G35" s="28">
        <v>35.65</v>
      </c>
      <c r="H35" s="27">
        <f t="shared" si="4"/>
        <v>42.477876106194692</v>
      </c>
      <c r="I35" s="43">
        <f t="shared" si="1"/>
        <v>5.0973451327433628</v>
      </c>
      <c r="J35" s="44">
        <f t="shared" si="2"/>
        <v>0.42477876106194695</v>
      </c>
      <c r="K35" s="27">
        <v>48</v>
      </c>
      <c r="L35" s="5" t="s">
        <v>8</v>
      </c>
      <c r="M35" s="6">
        <f t="shared" si="3"/>
        <v>0.34642356241234218</v>
      </c>
    </row>
    <row r="36" spans="1:13" ht="15.75" x14ac:dyDescent="0.25">
      <c r="C36" s="12"/>
      <c r="D36" s="13"/>
      <c r="E36" s="14"/>
      <c r="F36" s="40"/>
      <c r="G36" s="15"/>
      <c r="I36" s="16"/>
      <c r="J36" s="17"/>
      <c r="K36" s="18"/>
      <c r="L36" s="19"/>
      <c r="M36" s="20"/>
    </row>
    <row r="37" spans="1:13" ht="15.75" x14ac:dyDescent="0.25">
      <c r="C37" s="12"/>
      <c r="D37" s="21"/>
      <c r="E37" s="21"/>
      <c r="F37" s="41"/>
      <c r="G37" s="22"/>
      <c r="I37" s="16"/>
      <c r="J37" s="17"/>
      <c r="K37" s="18"/>
      <c r="L37" s="19"/>
      <c r="M37" s="20"/>
    </row>
    <row r="38" spans="1:13" x14ac:dyDescent="0.25">
      <c r="M38" s="3"/>
    </row>
    <row r="39" spans="1:13" x14ac:dyDescent="0.25">
      <c r="M39" s="3"/>
    </row>
    <row r="40" spans="1:13" x14ac:dyDescent="0.25">
      <c r="M40" s="3"/>
    </row>
    <row r="41" spans="1:13" x14ac:dyDescent="0.25">
      <c r="M41" s="3"/>
    </row>
    <row r="42" spans="1:13" x14ac:dyDescent="0.25">
      <c r="M42" s="3"/>
    </row>
    <row r="43" spans="1:13" x14ac:dyDescent="0.25">
      <c r="M43" s="3"/>
    </row>
    <row r="44" spans="1:13" x14ac:dyDescent="0.25">
      <c r="M44" s="3"/>
    </row>
    <row r="45" spans="1:13" x14ac:dyDescent="0.25">
      <c r="M45" s="3"/>
    </row>
    <row r="46" spans="1:13" x14ac:dyDescent="0.25">
      <c r="M46" s="3"/>
    </row>
    <row r="47" spans="1:13" x14ac:dyDescent="0.25">
      <c r="M47" s="3"/>
    </row>
    <row r="48" spans="1:13" x14ac:dyDescent="0.25">
      <c r="M48" s="3"/>
    </row>
    <row r="49" spans="13:13" x14ac:dyDescent="0.25">
      <c r="M49" s="3"/>
    </row>
    <row r="50" spans="13:13" x14ac:dyDescent="0.25">
      <c r="M50" s="3"/>
    </row>
    <row r="51" spans="13:13" x14ac:dyDescent="0.25">
      <c r="M51" s="3"/>
    </row>
    <row r="52" spans="13:13" x14ac:dyDescent="0.25">
      <c r="M52" s="3"/>
    </row>
    <row r="53" spans="13:13" x14ac:dyDescent="0.25">
      <c r="M53" s="3"/>
    </row>
    <row r="54" spans="13:13" x14ac:dyDescent="0.25">
      <c r="M54" s="3"/>
    </row>
    <row r="55" spans="13:13" x14ac:dyDescent="0.25">
      <c r="M55" s="3"/>
    </row>
    <row r="56" spans="13:13" x14ac:dyDescent="0.25">
      <c r="M56" s="3"/>
    </row>
    <row r="57" spans="13:13" x14ac:dyDescent="0.25">
      <c r="M57" s="3"/>
    </row>
    <row r="58" spans="13:13" x14ac:dyDescent="0.25">
      <c r="M58" s="3"/>
    </row>
    <row r="59" spans="13:13" x14ac:dyDescent="0.25">
      <c r="M59" s="3"/>
    </row>
    <row r="60" spans="13:13" x14ac:dyDescent="0.25">
      <c r="M60" s="3"/>
    </row>
    <row r="61" spans="13:13" x14ac:dyDescent="0.25">
      <c r="M61" s="3"/>
    </row>
    <row r="62" spans="13:13" x14ac:dyDescent="0.25">
      <c r="M62" s="3"/>
    </row>
    <row r="63" spans="13:13" x14ac:dyDescent="0.25">
      <c r="M63" s="3"/>
    </row>
    <row r="64" spans="13:13" x14ac:dyDescent="0.25">
      <c r="M64" s="3"/>
    </row>
    <row r="65" spans="13:13" x14ac:dyDescent="0.25">
      <c r="M65" s="3"/>
    </row>
    <row r="66" spans="13:13" x14ac:dyDescent="0.25">
      <c r="M66" s="3"/>
    </row>
    <row r="67" spans="13:13" x14ac:dyDescent="0.25">
      <c r="M67" s="3"/>
    </row>
    <row r="68" spans="13:13" x14ac:dyDescent="0.25">
      <c r="M68" s="3"/>
    </row>
    <row r="69" spans="13:13" x14ac:dyDescent="0.25">
      <c r="M69" s="3"/>
    </row>
    <row r="70" spans="13:13" x14ac:dyDescent="0.25">
      <c r="M70" s="3"/>
    </row>
    <row r="71" spans="13:13" x14ac:dyDescent="0.25">
      <c r="M71" s="3"/>
    </row>
    <row r="72" spans="13:13" x14ac:dyDescent="0.25">
      <c r="M72" s="3"/>
    </row>
    <row r="73" spans="13:13" x14ac:dyDescent="0.25">
      <c r="M73" s="3"/>
    </row>
    <row r="74" spans="13:13" x14ac:dyDescent="0.25">
      <c r="M74" s="3"/>
    </row>
    <row r="75" spans="13:13" x14ac:dyDescent="0.25">
      <c r="M75" s="3"/>
    </row>
    <row r="76" spans="13:13" x14ac:dyDescent="0.25">
      <c r="M76" s="3"/>
    </row>
    <row r="77" spans="13:13" x14ac:dyDescent="0.25">
      <c r="M77" s="3"/>
    </row>
    <row r="78" spans="13:13" x14ac:dyDescent="0.25">
      <c r="M78" s="3"/>
    </row>
    <row r="79" spans="13:13" x14ac:dyDescent="0.25">
      <c r="M79" s="3"/>
    </row>
    <row r="80" spans="13:13" x14ac:dyDescent="0.25">
      <c r="M80" s="3"/>
    </row>
    <row r="81" spans="13:13" x14ac:dyDescent="0.25">
      <c r="M81" s="3"/>
    </row>
    <row r="82" spans="13:13" x14ac:dyDescent="0.25">
      <c r="M82" s="3"/>
    </row>
    <row r="83" spans="13:13" x14ac:dyDescent="0.25">
      <c r="M83" s="3"/>
    </row>
    <row r="84" spans="13:13" x14ac:dyDescent="0.25">
      <c r="M84" s="3"/>
    </row>
    <row r="85" spans="13:13" x14ac:dyDescent="0.25">
      <c r="M85" s="3"/>
    </row>
    <row r="86" spans="13:13" x14ac:dyDescent="0.25">
      <c r="M86" s="3"/>
    </row>
    <row r="87" spans="13:13" x14ac:dyDescent="0.25">
      <c r="M87" s="3"/>
    </row>
    <row r="88" spans="13:13" x14ac:dyDescent="0.25">
      <c r="M88" s="3"/>
    </row>
    <row r="89" spans="13:13" x14ac:dyDescent="0.25">
      <c r="M89" s="3"/>
    </row>
    <row r="90" spans="13:13" x14ac:dyDescent="0.25">
      <c r="M90" s="3"/>
    </row>
  </sheetData>
  <phoneticPr fontId="12" type="noConversion"/>
  <pageMargins left="0.25" right="0.25" top="0.75" bottom="0.75" header="0.3" footer="0.3"/>
  <pageSetup paperSize="9" scale="7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Софья Шакирова</dc:creator>
  <cp:lastModifiedBy>Пользователь</cp:lastModifiedBy>
  <cp:lastPrinted>2026-05-23T04:42:05Z</cp:lastPrinted>
  <dcterms:created xsi:type="dcterms:W3CDTF">2022-01-25T10:42:57Z</dcterms:created>
  <dcterms:modified xsi:type="dcterms:W3CDTF">2026-05-23T04:49:08Z</dcterms:modified>
</cp:coreProperties>
</file>